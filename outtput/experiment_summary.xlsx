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494503345aff44/Desktop/Capston Project/part2/outtput/"/>
    </mc:Choice>
  </mc:AlternateContent>
  <xr:revisionPtr revIDLastSave="5" documentId="8_{DD402AA3-A5BE-406E-86E0-03650E67DB0C}" xr6:coauthVersionLast="47" xr6:coauthVersionMax="47" xr10:uidLastSave="{9F751BDB-CA0F-4A1E-A94A-058C54D5F1F5}"/>
  <bookViews>
    <workbookView xWindow="-110" yWindow="-110" windowWidth="19420" windowHeight="10300" activeTab="1" xr2:uid="{B705B062-B812-446D-90A4-74759EE9FFCD}"/>
  </bookViews>
  <sheets>
    <sheet name="Data_Cleaning" sheetId="4" r:id="rId1"/>
    <sheet name="Summary" sheetId="1" r:id="rId2"/>
    <sheet name="Segment_Analysis" sheetId="2" r:id="rId3"/>
    <sheet name="Calculations" sheetId="3" r:id="rId4"/>
  </sheets>
  <definedNames>
    <definedName name="_xlcn.WorksheetConnection_Data_CleaningAP" hidden="1">Data_Cleaning!$A:$P</definedName>
  </definedNames>
  <calcPr calcId="181029"/>
  <pivotCaches>
    <pivotCache cacheId="143" r:id="rId5"/>
    <pivotCache cacheId="144" r:id="rId6"/>
    <pivotCache cacheId="14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4b0efd24-7fea-43a6-8b77-de3f2583b689" name="Range" connection="WorksheetConnection_Data_Cleaning!$A:$P"/>
        </x15:modelTables>
      </x15:dataModel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B12" i="1"/>
  <c r="B11" i="1"/>
  <c r="B10" i="1"/>
  <c r="B9" i="1"/>
  <c r="B8" i="1"/>
  <c r="B7" i="1"/>
  <c r="B5" i="1"/>
  <c r="B4" i="1"/>
  <c r="B3" i="1"/>
  <c r="C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68D7C8-B91B-4BBB-9451-8649F6E609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B1CEB2-BB7D-4AA5-8468-A54B8A6638C6}" name="WorksheetConnection_Data_Cleaning!$A:$P" type="102" refreshedVersion="8" minRefreshableVersion="5">
    <extLst>
      <ext xmlns:x15="http://schemas.microsoft.com/office/spreadsheetml/2010/11/main" uri="{DE250136-89BD-433C-8126-D09CA5730AF9}">
        <x15:connection id="Range-4b0efd24-7fea-43a6-8b77-de3f2583b689" autoDelete="1">
          <x15:rangePr sourceName="_xlcn.WorksheetConnection_Data_CleaningAP"/>
        </x15:connection>
      </ext>
    </extLst>
  </connection>
</connections>
</file>

<file path=xl/sharedStrings.xml><?xml version="1.0" encoding="utf-8"?>
<sst xmlns="http://schemas.openxmlformats.org/spreadsheetml/2006/main" count="8505" uniqueCount="1452">
  <si>
    <t>Metric</t>
  </si>
  <si>
    <t>Control</t>
  </si>
  <si>
    <t>Treatment</t>
  </si>
  <si>
    <t>User Count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</si>
  <si>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</si>
  <si>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</si>
  <si>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</si>
  <si>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</si>
  <si>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</si>
  <si>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</si>
  <si>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</si>
  <si>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</si>
  <si>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</si>
  <si>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Basic</t>
  </si>
  <si>
    <t>Paid Search</t>
  </si>
  <si>
    <t>Mobile</t>
  </si>
  <si>
    <t>North</t>
  </si>
  <si>
    <t>Free</t>
  </si>
  <si>
    <t>Organic</t>
  </si>
  <si>
    <t>South</t>
  </si>
  <si>
    <t>East</t>
  </si>
  <si>
    <t>West</t>
  </si>
  <si>
    <t>Social</t>
  </si>
  <si>
    <t>Email</t>
  </si>
  <si>
    <t>Tablet</t>
  </si>
  <si>
    <t>Desktop</t>
  </si>
  <si>
    <t>USR-101400</t>
  </si>
  <si>
    <t>Referral</t>
  </si>
  <si>
    <t>USR-101399</t>
  </si>
  <si>
    <t>Premium</t>
  </si>
  <si>
    <t>USR-101398</t>
  </si>
  <si>
    <t>USR-101397</t>
  </si>
  <si>
    <t>Unknown</t>
  </si>
  <si>
    <t>USR-101396</t>
  </si>
  <si>
    <t>USR-101395</t>
  </si>
  <si>
    <t>USR-101394</t>
  </si>
  <si>
    <t>USR-101393</t>
  </si>
  <si>
    <t>USR-101392</t>
  </si>
  <si>
    <t>USR-101391</t>
  </si>
  <si>
    <t>USR-101390</t>
  </si>
  <si>
    <t>USR-101389</t>
  </si>
  <si>
    <t>USR-101388</t>
  </si>
  <si>
    <t>USR-101387</t>
  </si>
  <si>
    <t>USR-101386</t>
  </si>
  <si>
    <t>USR-101385</t>
  </si>
  <si>
    <t>USR-101384</t>
  </si>
  <si>
    <t>USR-101383</t>
  </si>
  <si>
    <t>USR-101382</t>
  </si>
  <si>
    <t>USR-101381</t>
  </si>
  <si>
    <t>USR-101380</t>
  </si>
  <si>
    <t>USR-101379</t>
  </si>
  <si>
    <t>USR-101378</t>
  </si>
  <si>
    <t>USR-101377</t>
  </si>
  <si>
    <t>USR-101376</t>
  </si>
  <si>
    <t>USR-101375</t>
  </si>
  <si>
    <t>USR-101374</t>
  </si>
  <si>
    <t>USR-101373</t>
  </si>
  <si>
    <t>USR-101372</t>
  </si>
  <si>
    <t>USR-101371</t>
  </si>
  <si>
    <t>USR-101370</t>
  </si>
  <si>
    <t>USR-101369</t>
  </si>
  <si>
    <t>USR-101368</t>
  </si>
  <si>
    <t>USR-101367</t>
  </si>
  <si>
    <t>USR-101366</t>
  </si>
  <si>
    <t>USR-101365</t>
  </si>
  <si>
    <t>USR-101364</t>
  </si>
  <si>
    <t>USR-101363</t>
  </si>
  <si>
    <t>USR-101362</t>
  </si>
  <si>
    <t>USR-101361</t>
  </si>
  <si>
    <t>USR-101360</t>
  </si>
  <si>
    <t>USR-101359</t>
  </si>
  <si>
    <t>USR-101358</t>
  </si>
  <si>
    <t>USR-101357</t>
  </si>
  <si>
    <t>USR-101356</t>
  </si>
  <si>
    <t>USR-101355</t>
  </si>
  <si>
    <t>USR-101354</t>
  </si>
  <si>
    <t>USR-101353</t>
  </si>
  <si>
    <t>USR-101352</t>
  </si>
  <si>
    <t>USR-101351</t>
  </si>
  <si>
    <t>USR-101350</t>
  </si>
  <si>
    <t>USR-101349</t>
  </si>
  <si>
    <t>USR-101348</t>
  </si>
  <si>
    <t>USR-101347</t>
  </si>
  <si>
    <t>USR-101346</t>
  </si>
  <si>
    <t>USR-101345</t>
  </si>
  <si>
    <t>USR-101344</t>
  </si>
  <si>
    <t>USR-101343</t>
  </si>
  <si>
    <t>USR-101342</t>
  </si>
  <si>
    <t>USR-101341</t>
  </si>
  <si>
    <t>USR-101340</t>
  </si>
  <si>
    <t>USR-101339</t>
  </si>
  <si>
    <t>USR-101338</t>
  </si>
  <si>
    <t>USR-101337</t>
  </si>
  <si>
    <t>USR-101336</t>
  </si>
  <si>
    <t>USR-101335</t>
  </si>
  <si>
    <t>USR-101334</t>
  </si>
  <si>
    <t>USR-101333</t>
  </si>
  <si>
    <t>USR-101332</t>
  </si>
  <si>
    <t>USR-101331</t>
  </si>
  <si>
    <t>USR-101330</t>
  </si>
  <si>
    <t>USR-101329</t>
  </si>
  <si>
    <t>USR-101328</t>
  </si>
  <si>
    <t>USR-101327</t>
  </si>
  <si>
    <t>USR-101326</t>
  </si>
  <si>
    <t>USR-101325</t>
  </si>
  <si>
    <t>USR-101324</t>
  </si>
  <si>
    <t>USR-101323</t>
  </si>
  <si>
    <t>USR-101322</t>
  </si>
  <si>
    <t>USR-101321</t>
  </si>
  <si>
    <t>USR-101320</t>
  </si>
  <si>
    <t>USR-101319</t>
  </si>
  <si>
    <t>USR-101318</t>
  </si>
  <si>
    <t>USR-101317</t>
  </si>
  <si>
    <t>USR-101316</t>
  </si>
  <si>
    <t>USR-101315</t>
  </si>
  <si>
    <t>USR-101314</t>
  </si>
  <si>
    <t>USR-101313</t>
  </si>
  <si>
    <t>USR-101312</t>
  </si>
  <si>
    <t>USR-101311</t>
  </si>
  <si>
    <t>USR-101310</t>
  </si>
  <si>
    <t>USR-101309</t>
  </si>
  <si>
    <t>USR-101308</t>
  </si>
  <si>
    <t>USR-101307</t>
  </si>
  <si>
    <t>USR-101306</t>
  </si>
  <si>
    <t>USR-101305</t>
  </si>
  <si>
    <t>USR-101304</t>
  </si>
  <si>
    <t>USR-101303</t>
  </si>
  <si>
    <t>USR-101302</t>
  </si>
  <si>
    <t>USR-101301</t>
  </si>
  <si>
    <t>USR-101300</t>
  </si>
  <si>
    <t>USR-101299</t>
  </si>
  <si>
    <t>USR-101298</t>
  </si>
  <si>
    <t>USR-101297</t>
  </si>
  <si>
    <t>USR-101296</t>
  </si>
  <si>
    <t>USR-101295</t>
  </si>
  <si>
    <t>USR-101294</t>
  </si>
  <si>
    <t>USR-101293</t>
  </si>
  <si>
    <t>USR-101292</t>
  </si>
  <si>
    <t>USR-101291</t>
  </si>
  <si>
    <t>USR-101290</t>
  </si>
  <si>
    <t>USR-101289</t>
  </si>
  <si>
    <t>USR-101288</t>
  </si>
  <si>
    <t>USR-101287</t>
  </si>
  <si>
    <t>USR-101286</t>
  </si>
  <si>
    <t>USR-101285</t>
  </si>
  <si>
    <t>USR-101284</t>
  </si>
  <si>
    <t>USR-101283</t>
  </si>
  <si>
    <t>USR-101282</t>
  </si>
  <si>
    <t>USR-101281</t>
  </si>
  <si>
    <t>USR-101280</t>
  </si>
  <si>
    <t>USR-101279</t>
  </si>
  <si>
    <t>USR-101278</t>
  </si>
  <si>
    <t>USR-101277</t>
  </si>
  <si>
    <t>USR-101276</t>
  </si>
  <si>
    <t>USR-101275</t>
  </si>
  <si>
    <t>USR-101274</t>
  </si>
  <si>
    <t>USR-101273</t>
  </si>
  <si>
    <t>USR-101272</t>
  </si>
  <si>
    <t>USR-101271</t>
  </si>
  <si>
    <t>USR-101270</t>
  </si>
  <si>
    <t>USR-101269</t>
  </si>
  <si>
    <t>USR-101268</t>
  </si>
  <si>
    <t>USR-101267</t>
  </si>
  <si>
    <t>USR-101266</t>
  </si>
  <si>
    <t>USR-101265</t>
  </si>
  <si>
    <t>USR-101264</t>
  </si>
  <si>
    <t>USR-101263</t>
  </si>
  <si>
    <t>USR-101262</t>
  </si>
  <si>
    <t>USR-101261</t>
  </si>
  <si>
    <t>USR-101260</t>
  </si>
  <si>
    <t>USR-101259</t>
  </si>
  <si>
    <t>USR-101258</t>
  </si>
  <si>
    <t>USR-101257</t>
  </si>
  <si>
    <t>USR-101256</t>
  </si>
  <si>
    <t>USR-101255</t>
  </si>
  <si>
    <t>USR-101254</t>
  </si>
  <si>
    <t>USR-101253</t>
  </si>
  <si>
    <t>USR-101252</t>
  </si>
  <si>
    <t>USR-101251</t>
  </si>
  <si>
    <t>USR-101250</t>
  </si>
  <si>
    <t>USR-101249</t>
  </si>
  <si>
    <t>USR-101248</t>
  </si>
  <si>
    <t>USR-101247</t>
  </si>
  <si>
    <t>USR-101246</t>
  </si>
  <si>
    <t>USR-101245</t>
  </si>
  <si>
    <t>USR-101244</t>
  </si>
  <si>
    <t>USR-101243</t>
  </si>
  <si>
    <t>USR-101242</t>
  </si>
  <si>
    <t>USR-101241</t>
  </si>
  <si>
    <t>USR-101240</t>
  </si>
  <si>
    <t>USR-101239</t>
  </si>
  <si>
    <t>USR-101238</t>
  </si>
  <si>
    <t>USR-101237</t>
  </si>
  <si>
    <t>USR-101236</t>
  </si>
  <si>
    <t>USR-101235</t>
  </si>
  <si>
    <t>USR-101234</t>
  </si>
  <si>
    <t>USR-101233</t>
  </si>
  <si>
    <t>USR-101232</t>
  </si>
  <si>
    <t>USR-101231</t>
  </si>
  <si>
    <t>USR-101230</t>
  </si>
  <si>
    <t>USR-101229</t>
  </si>
  <si>
    <t>USR-101228</t>
  </si>
  <si>
    <t>USR-101227</t>
  </si>
  <si>
    <t>USR-101226</t>
  </si>
  <si>
    <t>USR-101225</t>
  </si>
  <si>
    <t>USR-101224</t>
  </si>
  <si>
    <t>USR-101223</t>
  </si>
  <si>
    <t>USR-101222</t>
  </si>
  <si>
    <t>USR-101221</t>
  </si>
  <si>
    <t>USR-101220</t>
  </si>
  <si>
    <t>USR-101219</t>
  </si>
  <si>
    <t>USR-101218</t>
  </si>
  <si>
    <t>USR-101217</t>
  </si>
  <si>
    <t>USR-101216</t>
  </si>
  <si>
    <t>USR-101215</t>
  </si>
  <si>
    <t>USR-101214</t>
  </si>
  <si>
    <t>USR-101213</t>
  </si>
  <si>
    <t>USR-101212</t>
  </si>
  <si>
    <t>USR-101211</t>
  </si>
  <si>
    <t>USR-101210</t>
  </si>
  <si>
    <t>USR-101209</t>
  </si>
  <si>
    <t>USR-101208</t>
  </si>
  <si>
    <t>USR-101207</t>
  </si>
  <si>
    <t>USR-101206</t>
  </si>
  <si>
    <t>USR-101205</t>
  </si>
  <si>
    <t>USR-101204</t>
  </si>
  <si>
    <t>USR-101203</t>
  </si>
  <si>
    <t>USR-101202</t>
  </si>
  <si>
    <t>USR-101201</t>
  </si>
  <si>
    <t>USR-101200</t>
  </si>
  <si>
    <t>USR-101199</t>
  </si>
  <si>
    <t>USR-101198</t>
  </si>
  <si>
    <t>USR-101197</t>
  </si>
  <si>
    <t>USR-101196</t>
  </si>
  <si>
    <t>USR-101195</t>
  </si>
  <si>
    <t>USR-101194</t>
  </si>
  <si>
    <t>USR-101193</t>
  </si>
  <si>
    <t>USR-101192</t>
  </si>
  <si>
    <t>USR-101191</t>
  </si>
  <si>
    <t>USR-101190</t>
  </si>
  <si>
    <t>USR-101189</t>
  </si>
  <si>
    <t>USR-101188</t>
  </si>
  <si>
    <t>USR-101187</t>
  </si>
  <si>
    <t>USR-101186</t>
  </si>
  <si>
    <t>USR-101185</t>
  </si>
  <si>
    <t>USR-101184</t>
  </si>
  <si>
    <t>USR-101183</t>
  </si>
  <si>
    <t>USR-101182</t>
  </si>
  <si>
    <t>USR-101181</t>
  </si>
  <si>
    <t>USR-101180</t>
  </si>
  <si>
    <t>USR-101179</t>
  </si>
  <si>
    <t>USR-101178</t>
  </si>
  <si>
    <t>USR-101177</t>
  </si>
  <si>
    <t>USR-101176</t>
  </si>
  <si>
    <t>USR-101175</t>
  </si>
  <si>
    <t>USR-101174</t>
  </si>
  <si>
    <t>USR-101173</t>
  </si>
  <si>
    <t>USR-101172</t>
  </si>
  <si>
    <t>USR-101171</t>
  </si>
  <si>
    <t>USR-101170</t>
  </si>
  <si>
    <t>USR-101169</t>
  </si>
  <si>
    <t>USR-101168</t>
  </si>
  <si>
    <t>USR-101167</t>
  </si>
  <si>
    <t>USR-101166</t>
  </si>
  <si>
    <t>USR-101165</t>
  </si>
  <si>
    <t>USR-101164</t>
  </si>
  <si>
    <t>USR-101163</t>
  </si>
  <si>
    <t>USR-101162</t>
  </si>
  <si>
    <t>USR-101161</t>
  </si>
  <si>
    <t>USR-101160</t>
  </si>
  <si>
    <t>USR-101159</t>
  </si>
  <si>
    <t>USR-101158</t>
  </si>
  <si>
    <t>USR-101157</t>
  </si>
  <si>
    <t>USR-101156</t>
  </si>
  <si>
    <t>USR-101155</t>
  </si>
  <si>
    <t>USR-101154</t>
  </si>
  <si>
    <t>USR-101153</t>
  </si>
  <si>
    <t>USR-101152</t>
  </si>
  <si>
    <t>USR-101151</t>
  </si>
  <si>
    <t>USR-101150</t>
  </si>
  <si>
    <t>USR-101149</t>
  </si>
  <si>
    <t>USR-101148</t>
  </si>
  <si>
    <t>USR-101147</t>
  </si>
  <si>
    <t>USR-101146</t>
  </si>
  <si>
    <t>USR-101145</t>
  </si>
  <si>
    <t>USR-101144</t>
  </si>
  <si>
    <t>USR-101143</t>
  </si>
  <si>
    <t>USR-101142</t>
  </si>
  <si>
    <t>USR-101141</t>
  </si>
  <si>
    <t>USR-101140</t>
  </si>
  <si>
    <t>USR-101139</t>
  </si>
  <si>
    <t>USR-101138</t>
  </si>
  <si>
    <t>USR-101137</t>
  </si>
  <si>
    <t>USR-101136</t>
  </si>
  <si>
    <t>USR-101135</t>
  </si>
  <si>
    <t>USR-101134</t>
  </si>
  <si>
    <t>USR-101133</t>
  </si>
  <si>
    <t>USR-101132</t>
  </si>
  <si>
    <t>USR-101131</t>
  </si>
  <si>
    <t>USR-101130</t>
  </si>
  <si>
    <t>USR-101129</t>
  </si>
  <si>
    <t>USR-101128</t>
  </si>
  <si>
    <t>USR-101127</t>
  </si>
  <si>
    <t>USR-101126</t>
  </si>
  <si>
    <t>USR-101125</t>
  </si>
  <si>
    <t>USR-101124</t>
  </si>
  <si>
    <t>USR-101123</t>
  </si>
  <si>
    <t>USR-101122</t>
  </si>
  <si>
    <t>USR-101121</t>
  </si>
  <si>
    <t>USR-101120</t>
  </si>
  <si>
    <t>USR-101119</t>
  </si>
  <si>
    <t>USR-101118</t>
  </si>
  <si>
    <t>USR-101117</t>
  </si>
  <si>
    <t>USR-101116</t>
  </si>
  <si>
    <t>USR-101115</t>
  </si>
  <si>
    <t>USR-101114</t>
  </si>
  <si>
    <t>USR-101113</t>
  </si>
  <si>
    <t>USR-101112</t>
  </si>
  <si>
    <t>USR-101111</t>
  </si>
  <si>
    <t>USR-101110</t>
  </si>
  <si>
    <t>USR-101109</t>
  </si>
  <si>
    <t>USR-101108</t>
  </si>
  <si>
    <t>USR-101107</t>
  </si>
  <si>
    <t>USR-101106</t>
  </si>
  <si>
    <t>USR-101105</t>
  </si>
  <si>
    <t>USR-101104</t>
  </si>
  <si>
    <t>USR-101103</t>
  </si>
  <si>
    <t>USR-101102</t>
  </si>
  <si>
    <t>USR-101101</t>
  </si>
  <si>
    <t>USR-101100</t>
  </si>
  <si>
    <t>USR-101099</t>
  </si>
  <si>
    <t>USR-101098</t>
  </si>
  <si>
    <t>USR-101097</t>
  </si>
  <si>
    <t>USR-101096</t>
  </si>
  <si>
    <t>USR-101095</t>
  </si>
  <si>
    <t>USR-101094</t>
  </si>
  <si>
    <t>USR-101093</t>
  </si>
  <si>
    <t>USR-101092</t>
  </si>
  <si>
    <t>USR-101091</t>
  </si>
  <si>
    <t>USR-101090</t>
  </si>
  <si>
    <t>USR-101089</t>
  </si>
  <si>
    <t>USR-101088</t>
  </si>
  <si>
    <t>USR-101087</t>
  </si>
  <si>
    <t>USR-101086</t>
  </si>
  <si>
    <t>USR-101085</t>
  </si>
  <si>
    <t>USR-101084</t>
  </si>
  <si>
    <t>USR-101083</t>
  </si>
  <si>
    <t>USR-101082</t>
  </si>
  <si>
    <t>USR-101081</t>
  </si>
  <si>
    <t>USR-101080</t>
  </si>
  <si>
    <t>USR-101079</t>
  </si>
  <si>
    <t>USR-101078</t>
  </si>
  <si>
    <t>USR-101077</t>
  </si>
  <si>
    <t>USR-101076</t>
  </si>
  <si>
    <t>USR-101075</t>
  </si>
  <si>
    <t>USR-101074</t>
  </si>
  <si>
    <t>USR-101073</t>
  </si>
  <si>
    <t>USR-101072</t>
  </si>
  <si>
    <t>USR-101071</t>
  </si>
  <si>
    <t>USR-101070</t>
  </si>
  <si>
    <t>USR-101069</t>
  </si>
  <si>
    <t>USR-101068</t>
  </si>
  <si>
    <t>USR-101067</t>
  </si>
  <si>
    <t>USR-101066</t>
  </si>
  <si>
    <t>USR-101065</t>
  </si>
  <si>
    <t>USR-101064</t>
  </si>
  <si>
    <t>USR-101063</t>
  </si>
  <si>
    <t>USR-101062</t>
  </si>
  <si>
    <t>USR-101061</t>
  </si>
  <si>
    <t>USR-101060</t>
  </si>
  <si>
    <t>USR-101059</t>
  </si>
  <si>
    <t>USR-101058</t>
  </si>
  <si>
    <t>USR-101057</t>
  </si>
  <si>
    <t>USR-101056</t>
  </si>
  <si>
    <t>USR-101055</t>
  </si>
  <si>
    <t>USR-101054</t>
  </si>
  <si>
    <t>USR-101053</t>
  </si>
  <si>
    <t>USR-101052</t>
  </si>
  <si>
    <t>USR-101051</t>
  </si>
  <si>
    <t>USR-101050</t>
  </si>
  <si>
    <t>USR-101049</t>
  </si>
  <si>
    <t>USR-101048</t>
  </si>
  <si>
    <t>USR-101047</t>
  </si>
  <si>
    <t>USR-101046</t>
  </si>
  <si>
    <t>USR-101045</t>
  </si>
  <si>
    <t>USR-101044</t>
  </si>
  <si>
    <t>USR-101043</t>
  </si>
  <si>
    <t>USR-101042</t>
  </si>
  <si>
    <t>USR-101041</t>
  </si>
  <si>
    <t>USR-101040</t>
  </si>
  <si>
    <t>USR-101039</t>
  </si>
  <si>
    <t>USR-101038</t>
  </si>
  <si>
    <t>USR-101037</t>
  </si>
  <si>
    <t>USR-101036</t>
  </si>
  <si>
    <t>USR-101035</t>
  </si>
  <si>
    <t>USR-101034</t>
  </si>
  <si>
    <t>USR-101033</t>
  </si>
  <si>
    <t>USR-101032</t>
  </si>
  <si>
    <t>USR-101031</t>
  </si>
  <si>
    <t>USR-101030</t>
  </si>
  <si>
    <t>USR-101029</t>
  </si>
  <si>
    <t>USR-101028</t>
  </si>
  <si>
    <t>USR-101027</t>
  </si>
  <si>
    <t>USR-101026</t>
  </si>
  <si>
    <t>USR-101025</t>
  </si>
  <si>
    <t>USR-101024</t>
  </si>
  <si>
    <t>USR-101023</t>
  </si>
  <si>
    <t>USR-101022</t>
  </si>
  <si>
    <t>USR-101021</t>
  </si>
  <si>
    <t>USR-101020</t>
  </si>
  <si>
    <t>USR-101019</t>
  </si>
  <si>
    <t>USR-101018</t>
  </si>
  <si>
    <t>USR-101017</t>
  </si>
  <si>
    <t>USR-101016</t>
  </si>
  <si>
    <t>USR-101015</t>
  </si>
  <si>
    <t>USR-101014</t>
  </si>
  <si>
    <t>USR-101013</t>
  </si>
  <si>
    <t>USR-101012</t>
  </si>
  <si>
    <t>USR-101011</t>
  </si>
  <si>
    <t>USR-101010</t>
  </si>
  <si>
    <t>USR-101009</t>
  </si>
  <si>
    <t>USR-101008</t>
  </si>
  <si>
    <t>USR-101007</t>
  </si>
  <si>
    <t>USR-101006</t>
  </si>
  <si>
    <t>USR-101005</t>
  </si>
  <si>
    <t>USR-101004</t>
  </si>
  <si>
    <t>USR-101003</t>
  </si>
  <si>
    <t>USR-101002</t>
  </si>
  <si>
    <t>USR-101001</t>
  </si>
  <si>
    <t>USR-101000</t>
  </si>
  <si>
    <t>USR-100999</t>
  </si>
  <si>
    <t>USR-100998</t>
  </si>
  <si>
    <t>USR-100997</t>
  </si>
  <si>
    <t>USR-100996</t>
  </si>
  <si>
    <t>USR-100995</t>
  </si>
  <si>
    <t>USR-100994</t>
  </si>
  <si>
    <t>USR-100993</t>
  </si>
  <si>
    <t>USR-100992</t>
  </si>
  <si>
    <t>USR-100991</t>
  </si>
  <si>
    <t>USR-100990</t>
  </si>
  <si>
    <t>USR-100989</t>
  </si>
  <si>
    <t>USR-100988</t>
  </si>
  <si>
    <t>USR-100987</t>
  </si>
  <si>
    <t>USR-100986</t>
  </si>
  <si>
    <t>USR-100985</t>
  </si>
  <si>
    <t>USR-100984</t>
  </si>
  <si>
    <t>USR-100983</t>
  </si>
  <si>
    <t>USR-100982</t>
  </si>
  <si>
    <t>USR-100981</t>
  </si>
  <si>
    <t>USR-100980</t>
  </si>
  <si>
    <t>USR-100979</t>
  </si>
  <si>
    <t>USR-100978</t>
  </si>
  <si>
    <t>USR-100977</t>
  </si>
  <si>
    <t>USR-100976</t>
  </si>
  <si>
    <t>USR-100975</t>
  </si>
  <si>
    <t>USR-100974</t>
  </si>
  <si>
    <t>USR-100973</t>
  </si>
  <si>
    <t>USR-100972</t>
  </si>
  <si>
    <t>USR-100971</t>
  </si>
  <si>
    <t>USR-100970</t>
  </si>
  <si>
    <t>USR-100969</t>
  </si>
  <si>
    <t>USR-100968</t>
  </si>
  <si>
    <t>USR-100967</t>
  </si>
  <si>
    <t>USR-100966</t>
  </si>
  <si>
    <t>USR-100965</t>
  </si>
  <si>
    <t>USR-100964</t>
  </si>
  <si>
    <t>USR-100963</t>
  </si>
  <si>
    <t>USR-100962</t>
  </si>
  <si>
    <t>USR-100961</t>
  </si>
  <si>
    <t>USR-100960</t>
  </si>
  <si>
    <t>USR-100959</t>
  </si>
  <si>
    <t>USR-100958</t>
  </si>
  <si>
    <t>USR-100957</t>
  </si>
  <si>
    <t>USR-100956</t>
  </si>
  <si>
    <t>USR-100955</t>
  </si>
  <si>
    <t>USR-100954</t>
  </si>
  <si>
    <t>USR-100953</t>
  </si>
  <si>
    <t>USR-100952</t>
  </si>
  <si>
    <t>USR-100951</t>
  </si>
  <si>
    <t>USR-100950</t>
  </si>
  <si>
    <t>USR-100949</t>
  </si>
  <si>
    <t>USR-100948</t>
  </si>
  <si>
    <t>USR-100947</t>
  </si>
  <si>
    <t>USR-100946</t>
  </si>
  <si>
    <t>USR-100945</t>
  </si>
  <si>
    <t>USR-100944</t>
  </si>
  <si>
    <t>USR-100943</t>
  </si>
  <si>
    <t>USR-100942</t>
  </si>
  <si>
    <t>USR-100941</t>
  </si>
  <si>
    <t>USR-100940</t>
  </si>
  <si>
    <t>USR-100939</t>
  </si>
  <si>
    <t>USR-100938</t>
  </si>
  <si>
    <t>USR-100937</t>
  </si>
  <si>
    <t>USR-100936</t>
  </si>
  <si>
    <t>USR-100935</t>
  </si>
  <si>
    <t>USR-100934</t>
  </si>
  <si>
    <t>USR-100933</t>
  </si>
  <si>
    <t>USR-100932</t>
  </si>
  <si>
    <t>USR-100931</t>
  </si>
  <si>
    <t>USR-100930</t>
  </si>
  <si>
    <t>USR-100929</t>
  </si>
  <si>
    <t>USR-100928</t>
  </si>
  <si>
    <t>USR-100927</t>
  </si>
  <si>
    <t>USR-100926</t>
  </si>
  <si>
    <t>USR-100925</t>
  </si>
  <si>
    <t>USR-100924</t>
  </si>
  <si>
    <t>USR-100923</t>
  </si>
  <si>
    <t>USR-100922</t>
  </si>
  <si>
    <t>USR-100921</t>
  </si>
  <si>
    <t>USR-100920</t>
  </si>
  <si>
    <t>USR-100919</t>
  </si>
  <si>
    <t>USR-100918</t>
  </si>
  <si>
    <t>USR-100917</t>
  </si>
  <si>
    <t>USR-100916</t>
  </si>
  <si>
    <t>USR-100915</t>
  </si>
  <si>
    <t>USR-100914</t>
  </si>
  <si>
    <t>USR-100913</t>
  </si>
  <si>
    <t>USR-100912</t>
  </si>
  <si>
    <t>USR-100911</t>
  </si>
  <si>
    <t>USR-100910</t>
  </si>
  <si>
    <t>USR-100909</t>
  </si>
  <si>
    <t>USR-100908</t>
  </si>
  <si>
    <t>USR-100907</t>
  </si>
  <si>
    <t>USR-100906</t>
  </si>
  <si>
    <t>USR-100905</t>
  </si>
  <si>
    <t>USR-100904</t>
  </si>
  <si>
    <t>USR-100903</t>
  </si>
  <si>
    <t>USR-100902</t>
  </si>
  <si>
    <t>USR-100901</t>
  </si>
  <si>
    <t>USR-100900</t>
  </si>
  <si>
    <t>USR-100899</t>
  </si>
  <si>
    <t>USR-100898</t>
  </si>
  <si>
    <t>USR-100897</t>
  </si>
  <si>
    <t>USR-100896</t>
  </si>
  <si>
    <t>USR-100895</t>
  </si>
  <si>
    <t>USR-100894</t>
  </si>
  <si>
    <t>USR-100893</t>
  </si>
  <si>
    <t>USR-100892</t>
  </si>
  <si>
    <t>USR-100891</t>
  </si>
  <si>
    <t>USR-100890</t>
  </si>
  <si>
    <t>USR-100889</t>
  </si>
  <si>
    <t>USR-100888</t>
  </si>
  <si>
    <t>USR-100887</t>
  </si>
  <si>
    <t>USR-100886</t>
  </si>
  <si>
    <t>USR-100885</t>
  </si>
  <si>
    <t>USR-100884</t>
  </si>
  <si>
    <t>USR-100883</t>
  </si>
  <si>
    <t>USR-100882</t>
  </si>
  <si>
    <t>USR-100881</t>
  </si>
  <si>
    <t>USR-100880</t>
  </si>
  <si>
    <t>USR-100879</t>
  </si>
  <si>
    <t>USR-100878</t>
  </si>
  <si>
    <t>USR-100877</t>
  </si>
  <si>
    <t>USR-100876</t>
  </si>
  <si>
    <t>USR-100875</t>
  </si>
  <si>
    <t>USR-100874</t>
  </si>
  <si>
    <t>USR-100873</t>
  </si>
  <si>
    <t>USR-100872</t>
  </si>
  <si>
    <t>USR-100871</t>
  </si>
  <si>
    <t>USR-100870</t>
  </si>
  <si>
    <t>USR-100869</t>
  </si>
  <si>
    <t>USR-100868</t>
  </si>
  <si>
    <t>USR-100867</t>
  </si>
  <si>
    <t>USR-100866</t>
  </si>
  <si>
    <t>USR-100865</t>
  </si>
  <si>
    <t>USR-100864</t>
  </si>
  <si>
    <t>USR-100863</t>
  </si>
  <si>
    <t>USR-100862</t>
  </si>
  <si>
    <t>USR-100861</t>
  </si>
  <si>
    <t>USR-100860</t>
  </si>
  <si>
    <t>USR-100859</t>
  </si>
  <si>
    <t>USR-100858</t>
  </si>
  <si>
    <t>USR-100857</t>
  </si>
  <si>
    <t>USR-100856</t>
  </si>
  <si>
    <t>USR-100855</t>
  </si>
  <si>
    <t>USR-100854</t>
  </si>
  <si>
    <t>USR-100853</t>
  </si>
  <si>
    <t>USR-100852</t>
  </si>
  <si>
    <t>USR-100851</t>
  </si>
  <si>
    <t>USR-100850</t>
  </si>
  <si>
    <t>USR-100849</t>
  </si>
  <si>
    <t>USR-100848</t>
  </si>
  <si>
    <t>USR-100847</t>
  </si>
  <si>
    <t>USR-100846</t>
  </si>
  <si>
    <t>USR-100845</t>
  </si>
  <si>
    <t>USR-100844</t>
  </si>
  <si>
    <t>USR-100843</t>
  </si>
  <si>
    <t>USR-100842</t>
  </si>
  <si>
    <t>USR-100841</t>
  </si>
  <si>
    <t>USR-100840</t>
  </si>
  <si>
    <t>USR-100839</t>
  </si>
  <si>
    <t>USR-100838</t>
  </si>
  <si>
    <t>USR-100837</t>
  </si>
  <si>
    <t>USR-100836</t>
  </si>
  <si>
    <t>USR-100835</t>
  </si>
  <si>
    <t>USR-100834</t>
  </si>
  <si>
    <t>USR-100833</t>
  </si>
  <si>
    <t>USR-100832</t>
  </si>
  <si>
    <t>USR-100831</t>
  </si>
  <si>
    <t>USR-100830</t>
  </si>
  <si>
    <t>USR-100829</t>
  </si>
  <si>
    <t>USR-100828</t>
  </si>
  <si>
    <t>USR-100827</t>
  </si>
  <si>
    <t>USR-100826</t>
  </si>
  <si>
    <t>USR-100825</t>
  </si>
  <si>
    <t>USR-100824</t>
  </si>
  <si>
    <t>USR-100823</t>
  </si>
  <si>
    <t>USR-100822</t>
  </si>
  <si>
    <t>USR-100821</t>
  </si>
  <si>
    <t>USR-100820</t>
  </si>
  <si>
    <t>USR-100819</t>
  </si>
  <si>
    <t>USR-100818</t>
  </si>
  <si>
    <t>USR-100817</t>
  </si>
  <si>
    <t>USR-100816</t>
  </si>
  <si>
    <t>USR-100815</t>
  </si>
  <si>
    <t>USR-100814</t>
  </si>
  <si>
    <t>USR-100813</t>
  </si>
  <si>
    <t>USR-100812</t>
  </si>
  <si>
    <t>USR-100811</t>
  </si>
  <si>
    <t>USR-100810</t>
  </si>
  <si>
    <t>USR-100809</t>
  </si>
  <si>
    <t>USR-100808</t>
  </si>
  <si>
    <t>USR-100807</t>
  </si>
  <si>
    <t>USR-100806</t>
  </si>
  <si>
    <t>USR-100805</t>
  </si>
  <si>
    <t>USR-100804</t>
  </si>
  <si>
    <t>USR-100803</t>
  </si>
  <si>
    <t>USR-100802</t>
  </si>
  <si>
    <t>USR-100801</t>
  </si>
  <si>
    <t>USR-100800</t>
  </si>
  <si>
    <t>USR-100799</t>
  </si>
  <si>
    <t>USR-100798</t>
  </si>
  <si>
    <t>USR-100797</t>
  </si>
  <si>
    <t>USR-100796</t>
  </si>
  <si>
    <t>USR-100795</t>
  </si>
  <si>
    <t>USR-100794</t>
  </si>
  <si>
    <t>USR-100793</t>
  </si>
  <si>
    <t>USR-100792</t>
  </si>
  <si>
    <t>USR-100791</t>
  </si>
  <si>
    <t>USR-100790</t>
  </si>
  <si>
    <t>USR-100789</t>
  </si>
  <si>
    <t>USR-100788</t>
  </si>
  <si>
    <t>USR-100787</t>
  </si>
  <si>
    <t>USR-100786</t>
  </si>
  <si>
    <t>USR-100785</t>
  </si>
  <si>
    <t>USR-100784</t>
  </si>
  <si>
    <t>USR-100783</t>
  </si>
  <si>
    <t>USR-100782</t>
  </si>
  <si>
    <t>USR-100781</t>
  </si>
  <si>
    <t>USR-100780</t>
  </si>
  <si>
    <t>USR-100779</t>
  </si>
  <si>
    <t>USR-100778</t>
  </si>
  <si>
    <t>USR-100777</t>
  </si>
  <si>
    <t>USR-100776</t>
  </si>
  <si>
    <t>USR-100775</t>
  </si>
  <si>
    <t>USR-100774</t>
  </si>
  <si>
    <t>USR-100773</t>
  </si>
  <si>
    <t>USR-100772</t>
  </si>
  <si>
    <t>USR-100771</t>
  </si>
  <si>
    <t>USR-100770</t>
  </si>
  <si>
    <t>USR-100769</t>
  </si>
  <si>
    <t>USR-100768</t>
  </si>
  <si>
    <t>USR-100767</t>
  </si>
  <si>
    <t>USR-100766</t>
  </si>
  <si>
    <t>USR-100765</t>
  </si>
  <si>
    <t>USR-100764</t>
  </si>
  <si>
    <t>USR-100763</t>
  </si>
  <si>
    <t>USR-100762</t>
  </si>
  <si>
    <t>USR-100761</t>
  </si>
  <si>
    <t>USR-100760</t>
  </si>
  <si>
    <t>USR-100759</t>
  </si>
  <si>
    <t>USR-100758</t>
  </si>
  <si>
    <t>USR-100757</t>
  </si>
  <si>
    <t>USR-100756</t>
  </si>
  <si>
    <t>USR-100755</t>
  </si>
  <si>
    <t>USR-100754</t>
  </si>
  <si>
    <t>USR-100753</t>
  </si>
  <si>
    <t>USR-100752</t>
  </si>
  <si>
    <t>USR-100751</t>
  </si>
  <si>
    <t>USR-100750</t>
  </si>
  <si>
    <t>USR-100749</t>
  </si>
  <si>
    <t>USR-100748</t>
  </si>
  <si>
    <t>USR-100747</t>
  </si>
  <si>
    <t>USR-100746</t>
  </si>
  <si>
    <t>USR-100745</t>
  </si>
  <si>
    <t>USR-100744</t>
  </si>
  <si>
    <t>USR-100743</t>
  </si>
  <si>
    <t>USR-100742</t>
  </si>
  <si>
    <t>USR-100741</t>
  </si>
  <si>
    <t>USR-100740</t>
  </si>
  <si>
    <t>USR-100739</t>
  </si>
  <si>
    <t>USR-100738</t>
  </si>
  <si>
    <t>USR-100737</t>
  </si>
  <si>
    <t>USR-100736</t>
  </si>
  <si>
    <t>USR-100735</t>
  </si>
  <si>
    <t>USR-100734</t>
  </si>
  <si>
    <t>USR-100733</t>
  </si>
  <si>
    <t>USR-100732</t>
  </si>
  <si>
    <t>USR-100731</t>
  </si>
  <si>
    <t>USR-100730</t>
  </si>
  <si>
    <t>USR-100729</t>
  </si>
  <si>
    <t>USR-100728</t>
  </si>
  <si>
    <t>USR-100727</t>
  </si>
  <si>
    <t>USR-100726</t>
  </si>
  <si>
    <t>USR-100725</t>
  </si>
  <si>
    <t>USR-100724</t>
  </si>
  <si>
    <t>USR-100723</t>
  </si>
  <si>
    <t>USR-100722</t>
  </si>
  <si>
    <t>USR-100721</t>
  </si>
  <si>
    <t>USR-100720</t>
  </si>
  <si>
    <t>USR-100719</t>
  </si>
  <si>
    <t>USR-100718</t>
  </si>
  <si>
    <t>USR-100717</t>
  </si>
  <si>
    <t>USR-100716</t>
  </si>
  <si>
    <t>USR-100715</t>
  </si>
  <si>
    <t>USR-100714</t>
  </si>
  <si>
    <t>USR-100713</t>
  </si>
  <si>
    <t>USR-100712</t>
  </si>
  <si>
    <t>USR-100711</t>
  </si>
  <si>
    <t>USR-100710</t>
  </si>
  <si>
    <t>USR-100709</t>
  </si>
  <si>
    <t>USR-100708</t>
  </si>
  <si>
    <t>USR-100707</t>
  </si>
  <si>
    <t>USR-100706</t>
  </si>
  <si>
    <t>USR-100705</t>
  </si>
  <si>
    <t>USR-100704</t>
  </si>
  <si>
    <t>USR-100703</t>
  </si>
  <si>
    <t>USR-100702</t>
  </si>
  <si>
    <t>USR-100701</t>
  </si>
  <si>
    <t>USR-100700</t>
  </si>
  <si>
    <t>USR-100699</t>
  </si>
  <si>
    <t>USR-100698</t>
  </si>
  <si>
    <t>USR-100697</t>
  </si>
  <si>
    <t>USR-100696</t>
  </si>
  <si>
    <t>USR-100695</t>
  </si>
  <si>
    <t>USR-100694</t>
  </si>
  <si>
    <t>USR-100693</t>
  </si>
  <si>
    <t>USR-100692</t>
  </si>
  <si>
    <t>USR-100691</t>
  </si>
  <si>
    <t>USR-100690</t>
  </si>
  <si>
    <t>USR-100689</t>
  </si>
  <si>
    <t>USR-100688</t>
  </si>
  <si>
    <t>USR-100687</t>
  </si>
  <si>
    <t>USR-100686</t>
  </si>
  <si>
    <t>USR-100685</t>
  </si>
  <si>
    <t>USR-100684</t>
  </si>
  <si>
    <t>USR-100683</t>
  </si>
  <si>
    <t>USR-100682</t>
  </si>
  <si>
    <t>USR-100681</t>
  </si>
  <si>
    <t>USR-100680</t>
  </si>
  <si>
    <t>USR-100679</t>
  </si>
  <si>
    <t>USR-100678</t>
  </si>
  <si>
    <t>USR-100677</t>
  </si>
  <si>
    <t>USR-100676</t>
  </si>
  <si>
    <t>USR-100675</t>
  </si>
  <si>
    <t>USR-100674</t>
  </si>
  <si>
    <t>USR-100673</t>
  </si>
  <si>
    <t>USR-100672</t>
  </si>
  <si>
    <t>USR-100671</t>
  </si>
  <si>
    <t>USR-100670</t>
  </si>
  <si>
    <t>USR-100669</t>
  </si>
  <si>
    <t>USR-100668</t>
  </si>
  <si>
    <t>USR-100667</t>
  </si>
  <si>
    <t>USR-100666</t>
  </si>
  <si>
    <t>USR-100665</t>
  </si>
  <si>
    <t>USR-100664</t>
  </si>
  <si>
    <t>USR-100663</t>
  </si>
  <si>
    <t>USR-100662</t>
  </si>
  <si>
    <t>USR-100661</t>
  </si>
  <si>
    <t>USR-100660</t>
  </si>
  <si>
    <t>USR-100659</t>
  </si>
  <si>
    <t>USR-100658</t>
  </si>
  <si>
    <t>USR-100657</t>
  </si>
  <si>
    <t>USR-100656</t>
  </si>
  <si>
    <t>USR-100655</t>
  </si>
  <si>
    <t>USR-100654</t>
  </si>
  <si>
    <t>USR-100653</t>
  </si>
  <si>
    <t>USR-100652</t>
  </si>
  <si>
    <t>USR-100651</t>
  </si>
  <si>
    <t>USR-100650</t>
  </si>
  <si>
    <t>USR-100649</t>
  </si>
  <si>
    <t>USR-100648</t>
  </si>
  <si>
    <t>USR-100647</t>
  </si>
  <si>
    <t>USR-100646</t>
  </si>
  <si>
    <t>USR-100645</t>
  </si>
  <si>
    <t>USR-100644</t>
  </si>
  <si>
    <t>USR-100643</t>
  </si>
  <si>
    <t>USR-100642</t>
  </si>
  <si>
    <t>USR-100641</t>
  </si>
  <si>
    <t>USR-100640</t>
  </si>
  <si>
    <t>USR-100639</t>
  </si>
  <si>
    <t>USR-100638</t>
  </si>
  <si>
    <t>USR-100637</t>
  </si>
  <si>
    <t>USR-100636</t>
  </si>
  <si>
    <t>USR-100635</t>
  </si>
  <si>
    <t>USR-100634</t>
  </si>
  <si>
    <t>USR-100633</t>
  </si>
  <si>
    <t>USR-100632</t>
  </si>
  <si>
    <t>USR-100631</t>
  </si>
  <si>
    <t>USR-100630</t>
  </si>
  <si>
    <t>USR-100629</t>
  </si>
  <si>
    <t>USR-100628</t>
  </si>
  <si>
    <t>USR-100627</t>
  </si>
  <si>
    <t>USR-100626</t>
  </si>
  <si>
    <t>USR-100625</t>
  </si>
  <si>
    <t>USR-100624</t>
  </si>
  <si>
    <t>USR-100623</t>
  </si>
  <si>
    <t>USR-100622</t>
  </si>
  <si>
    <t>USR-100621</t>
  </si>
  <si>
    <t>USR-100620</t>
  </si>
  <si>
    <t>USR-100619</t>
  </si>
  <si>
    <t>USR-100618</t>
  </si>
  <si>
    <t>USR-100617</t>
  </si>
  <si>
    <t>USR-100616</t>
  </si>
  <si>
    <t>USR-100615</t>
  </si>
  <si>
    <t>USR-100614</t>
  </si>
  <si>
    <t>USR-100613</t>
  </si>
  <si>
    <t>USR-100612</t>
  </si>
  <si>
    <t>USR-100611</t>
  </si>
  <si>
    <t>USR-100610</t>
  </si>
  <si>
    <t>USR-100609</t>
  </si>
  <si>
    <t>USR-100608</t>
  </si>
  <si>
    <t>USR-100607</t>
  </si>
  <si>
    <t>USR-100606</t>
  </si>
  <si>
    <t>USR-100605</t>
  </si>
  <si>
    <t>USR-100604</t>
  </si>
  <si>
    <t>USR-100603</t>
  </si>
  <si>
    <t>USR-100602</t>
  </si>
  <si>
    <t>USR-100601</t>
  </si>
  <si>
    <t>USR-100600</t>
  </si>
  <si>
    <t>USR-100599</t>
  </si>
  <si>
    <t>USR-100598</t>
  </si>
  <si>
    <t>USR-100597</t>
  </si>
  <si>
    <t>USR-100596</t>
  </si>
  <si>
    <t>USR-100595</t>
  </si>
  <si>
    <t>USR-100594</t>
  </si>
  <si>
    <t>USR-100593</t>
  </si>
  <si>
    <t>USR-100592</t>
  </si>
  <si>
    <t>USR-100591</t>
  </si>
  <si>
    <t>USR-100590</t>
  </si>
  <si>
    <t>USR-100589</t>
  </si>
  <si>
    <t>USR-100588</t>
  </si>
  <si>
    <t>USR-100587</t>
  </si>
  <si>
    <t>USR-100586</t>
  </si>
  <si>
    <t>USR-100585</t>
  </si>
  <si>
    <t>USR-100584</t>
  </si>
  <si>
    <t>USR-100583</t>
  </si>
  <si>
    <t>USR-100582</t>
  </si>
  <si>
    <t>USR-100581</t>
  </si>
  <si>
    <t>USR-100580</t>
  </si>
  <si>
    <t>USR-100579</t>
  </si>
  <si>
    <t>USR-100578</t>
  </si>
  <si>
    <t>USR-100577</t>
  </si>
  <si>
    <t>USR-100576</t>
  </si>
  <si>
    <t>USR-100575</t>
  </si>
  <si>
    <t>USR-100574</t>
  </si>
  <si>
    <t>USR-100573</t>
  </si>
  <si>
    <t>USR-100572</t>
  </si>
  <si>
    <t>USR-100571</t>
  </si>
  <si>
    <t>USR-100570</t>
  </si>
  <si>
    <t>USR-100569</t>
  </si>
  <si>
    <t>USR-100568</t>
  </si>
  <si>
    <t>USR-100567</t>
  </si>
  <si>
    <t>USR-100566</t>
  </si>
  <si>
    <t>USR-100565</t>
  </si>
  <si>
    <t>USR-100564</t>
  </si>
  <si>
    <t>USR-100563</t>
  </si>
  <si>
    <t>USR-100562</t>
  </si>
  <si>
    <t>USR-100561</t>
  </si>
  <si>
    <t>USR-100560</t>
  </si>
  <si>
    <t>USR-100559</t>
  </si>
  <si>
    <t>USR-100558</t>
  </si>
  <si>
    <t>USR-100557</t>
  </si>
  <si>
    <t>USR-100556</t>
  </si>
  <si>
    <t>USR-100555</t>
  </si>
  <si>
    <t>USR-100554</t>
  </si>
  <si>
    <t>USR-100553</t>
  </si>
  <si>
    <t>USR-100552</t>
  </si>
  <si>
    <t>USR-100551</t>
  </si>
  <si>
    <t>USR-100550</t>
  </si>
  <si>
    <t>USR-100549</t>
  </si>
  <si>
    <t>USR-100548</t>
  </si>
  <si>
    <t>USR-100547</t>
  </si>
  <si>
    <t>USR-100546</t>
  </si>
  <si>
    <t>USR-100545</t>
  </si>
  <si>
    <t>USR-100544</t>
  </si>
  <si>
    <t>USR-100543</t>
  </si>
  <si>
    <t>USR-100542</t>
  </si>
  <si>
    <t>USR-100541</t>
  </si>
  <si>
    <t>USR-100540</t>
  </si>
  <si>
    <t>USR-100539</t>
  </si>
  <si>
    <t>USR-100538</t>
  </si>
  <si>
    <t>USR-100537</t>
  </si>
  <si>
    <t>USR-100536</t>
  </si>
  <si>
    <t>USR-100535</t>
  </si>
  <si>
    <t>USR-100534</t>
  </si>
  <si>
    <t>USR-100533</t>
  </si>
  <si>
    <t>USR-100532</t>
  </si>
  <si>
    <t>USR-100531</t>
  </si>
  <si>
    <t>USR-100530</t>
  </si>
  <si>
    <t>USR-100529</t>
  </si>
  <si>
    <t>USR-100528</t>
  </si>
  <si>
    <t>USR-100527</t>
  </si>
  <si>
    <t>USR-100526</t>
  </si>
  <si>
    <t>USR-100525</t>
  </si>
  <si>
    <t>USR-100524</t>
  </si>
  <si>
    <t>USR-100523</t>
  </si>
  <si>
    <t>USR-100522</t>
  </si>
  <si>
    <t>USR-100521</t>
  </si>
  <si>
    <t>USR-100520</t>
  </si>
  <si>
    <t>USR-100519</t>
  </si>
  <si>
    <t>USR-100518</t>
  </si>
  <si>
    <t>USR-100517</t>
  </si>
  <si>
    <t>USR-100516</t>
  </si>
  <si>
    <t>USR-100515</t>
  </si>
  <si>
    <t>USR-100514</t>
  </si>
  <si>
    <t>USR-100513</t>
  </si>
  <si>
    <t>USR-100512</t>
  </si>
  <si>
    <t>USR-100511</t>
  </si>
  <si>
    <t>USR-100510</t>
  </si>
  <si>
    <t>USR-100509</t>
  </si>
  <si>
    <t>USR-100508</t>
  </si>
  <si>
    <t>USR-100507</t>
  </si>
  <si>
    <t>USR-100506</t>
  </si>
  <si>
    <t>USR-100505</t>
  </si>
  <si>
    <t>USR-100504</t>
  </si>
  <si>
    <t>USR-100503</t>
  </si>
  <si>
    <t>USR-100502</t>
  </si>
  <si>
    <t>USR-100501</t>
  </si>
  <si>
    <t>USR-100500</t>
  </si>
  <si>
    <t>USR-100499</t>
  </si>
  <si>
    <t>USR-100498</t>
  </si>
  <si>
    <t>USR-100497</t>
  </si>
  <si>
    <t>USR-100496</t>
  </si>
  <si>
    <t>USR-100495</t>
  </si>
  <si>
    <t>USR-100494</t>
  </si>
  <si>
    <t>USR-100493</t>
  </si>
  <si>
    <t>USR-100492</t>
  </si>
  <si>
    <t>USR-100491</t>
  </si>
  <si>
    <t>USR-100490</t>
  </si>
  <si>
    <t>USR-100489</t>
  </si>
  <si>
    <t>USR-100488</t>
  </si>
  <si>
    <t>USR-100487</t>
  </si>
  <si>
    <t>USR-100486</t>
  </si>
  <si>
    <t>USR-100485</t>
  </si>
  <si>
    <t>USR-100484</t>
  </si>
  <si>
    <t>USR-100483</t>
  </si>
  <si>
    <t>USR-100482</t>
  </si>
  <si>
    <t>USR-100481</t>
  </si>
  <si>
    <t>USR-100480</t>
  </si>
  <si>
    <t>USR-100479</t>
  </si>
  <si>
    <t>USR-100478</t>
  </si>
  <si>
    <t>USR-100477</t>
  </si>
  <si>
    <t>USR-100476</t>
  </si>
  <si>
    <t>USR-100475</t>
  </si>
  <si>
    <t>USR-100474</t>
  </si>
  <si>
    <t>USR-100473</t>
  </si>
  <si>
    <t>USR-100472</t>
  </si>
  <si>
    <t>USR-100471</t>
  </si>
  <si>
    <t>USR-100470</t>
  </si>
  <si>
    <t>USR-100469</t>
  </si>
  <si>
    <t>USR-100468</t>
  </si>
  <si>
    <t>USR-100467</t>
  </si>
  <si>
    <t>USR-100466</t>
  </si>
  <si>
    <t>USR-100465</t>
  </si>
  <si>
    <t>USR-100464</t>
  </si>
  <si>
    <t>USR-100463</t>
  </si>
  <si>
    <t>USR-100462</t>
  </si>
  <si>
    <t>USR-100461</t>
  </si>
  <si>
    <t>USR-100460</t>
  </si>
  <si>
    <t>USR-100459</t>
  </si>
  <si>
    <t>USR-100458</t>
  </si>
  <si>
    <t>USR-100457</t>
  </si>
  <si>
    <t>USR-100456</t>
  </si>
  <si>
    <t>USR-100455</t>
  </si>
  <si>
    <t>USR-100454</t>
  </si>
  <si>
    <t>USR-100453</t>
  </si>
  <si>
    <t>USR-100452</t>
  </si>
  <si>
    <t>USR-100451</t>
  </si>
  <si>
    <t>USR-100450</t>
  </si>
  <si>
    <t>USR-100449</t>
  </si>
  <si>
    <t>USR-100448</t>
  </si>
  <si>
    <t>USR-100447</t>
  </si>
  <si>
    <t>USR-100446</t>
  </si>
  <si>
    <t>USR-100445</t>
  </si>
  <si>
    <t>USR-100444</t>
  </si>
  <si>
    <t>USR-100443</t>
  </si>
  <si>
    <t>USR-100442</t>
  </si>
  <si>
    <t>USR-100441</t>
  </si>
  <si>
    <t>USR-100440</t>
  </si>
  <si>
    <t>USR-100439</t>
  </si>
  <si>
    <t>USR-100438</t>
  </si>
  <si>
    <t>USR-100437</t>
  </si>
  <si>
    <t>USR-100436</t>
  </si>
  <si>
    <t>USR-100435</t>
  </si>
  <si>
    <t>USR-100434</t>
  </si>
  <si>
    <t>USR-100433</t>
  </si>
  <si>
    <t>USR-100432</t>
  </si>
  <si>
    <t>USR-100431</t>
  </si>
  <si>
    <t>USR-100430</t>
  </si>
  <si>
    <t>USR-100429</t>
  </si>
  <si>
    <t>USR-100428</t>
  </si>
  <si>
    <t>USR-100427</t>
  </si>
  <si>
    <t>USR-100426</t>
  </si>
  <si>
    <t>USR-100425</t>
  </si>
  <si>
    <t>USR-100424</t>
  </si>
  <si>
    <t>USR-100423</t>
  </si>
  <si>
    <t>USR-100422</t>
  </si>
  <si>
    <t>USR-100421</t>
  </si>
  <si>
    <t>USR-100420</t>
  </si>
  <si>
    <t>USR-100419</t>
  </si>
  <si>
    <t>USR-100418</t>
  </si>
  <si>
    <t>USR-100417</t>
  </si>
  <si>
    <t>USR-100416</t>
  </si>
  <si>
    <t>USR-100415</t>
  </si>
  <si>
    <t>USR-100414</t>
  </si>
  <si>
    <t>USR-100413</t>
  </si>
  <si>
    <t>USR-100412</t>
  </si>
  <si>
    <t>USR-100411</t>
  </si>
  <si>
    <t>USR-100410</t>
  </si>
  <si>
    <t>USR-100409</t>
  </si>
  <si>
    <t>USR-100408</t>
  </si>
  <si>
    <t>USR-100407</t>
  </si>
  <si>
    <t>USR-100406</t>
  </si>
  <si>
    <t>USR-100405</t>
  </si>
  <si>
    <t>USR-100404</t>
  </si>
  <si>
    <t>USR-100403</t>
  </si>
  <si>
    <t>USR-100402</t>
  </si>
  <si>
    <t>USR-100401</t>
  </si>
  <si>
    <t>USR-100400</t>
  </si>
  <si>
    <t>USR-100399</t>
  </si>
  <si>
    <t>USR-100398</t>
  </si>
  <si>
    <t>USR-100397</t>
  </si>
  <si>
    <t>USR-100396</t>
  </si>
  <si>
    <t>USR-100395</t>
  </si>
  <si>
    <t>USR-100394</t>
  </si>
  <si>
    <t>USR-100393</t>
  </si>
  <si>
    <t>USR-100392</t>
  </si>
  <si>
    <t>USR-100391</t>
  </si>
  <si>
    <t>USR-100390</t>
  </si>
  <si>
    <t>USR-100389</t>
  </si>
  <si>
    <t>USR-100388</t>
  </si>
  <si>
    <t>USR-100387</t>
  </si>
  <si>
    <t>USR-100386</t>
  </si>
  <si>
    <t>USR-100385</t>
  </si>
  <si>
    <t>USR-100384</t>
  </si>
  <si>
    <t>USR-100383</t>
  </si>
  <si>
    <t>USR-100382</t>
  </si>
  <si>
    <t>USR-100381</t>
  </si>
  <si>
    <t>USR-100380</t>
  </si>
  <si>
    <t>USR-100379</t>
  </si>
  <si>
    <t>USR-100378</t>
  </si>
  <si>
    <t>USR-100377</t>
  </si>
  <si>
    <t>USR-100376</t>
  </si>
  <si>
    <t>USR-100375</t>
  </si>
  <si>
    <t>USR-100374</t>
  </si>
  <si>
    <t>USR-100373</t>
  </si>
  <si>
    <t>USR-100372</t>
  </si>
  <si>
    <t>USR-100371</t>
  </si>
  <si>
    <t>USR-100370</t>
  </si>
  <si>
    <t>USR-100369</t>
  </si>
  <si>
    <t>USR-100368</t>
  </si>
  <si>
    <t>USR-100367</t>
  </si>
  <si>
    <t>USR-100366</t>
  </si>
  <si>
    <t>USR-100365</t>
  </si>
  <si>
    <t>USR-100364</t>
  </si>
  <si>
    <t>USR-100363</t>
  </si>
  <si>
    <t>USR-100362</t>
  </si>
  <si>
    <t>USR-100361</t>
  </si>
  <si>
    <t>USR-100360</t>
  </si>
  <si>
    <t>USR-100359</t>
  </si>
  <si>
    <t>USR-100358</t>
  </si>
  <si>
    <t>USR-100357</t>
  </si>
  <si>
    <t>USR-100356</t>
  </si>
  <si>
    <t>USR-100355</t>
  </si>
  <si>
    <t>USR-100354</t>
  </si>
  <si>
    <t>USR-100353</t>
  </si>
  <si>
    <t>USR-100352</t>
  </si>
  <si>
    <t>USR-100351</t>
  </si>
  <si>
    <t>USR-100350</t>
  </si>
  <si>
    <t>USR-100349</t>
  </si>
  <si>
    <t>USR-100348</t>
  </si>
  <si>
    <t>USR-100347</t>
  </si>
  <si>
    <t>USR-100346</t>
  </si>
  <si>
    <t>USR-100345</t>
  </si>
  <si>
    <t>USR-100344</t>
  </si>
  <si>
    <t>USR-100343</t>
  </si>
  <si>
    <t>USR-100342</t>
  </si>
  <si>
    <t>USR-100341</t>
  </si>
  <si>
    <t>USR-100340</t>
  </si>
  <si>
    <t>USR-100339</t>
  </si>
  <si>
    <t>USR-100338</t>
  </si>
  <si>
    <t>USR-100337</t>
  </si>
  <si>
    <t>USR-100336</t>
  </si>
  <si>
    <t>USR-100335</t>
  </si>
  <si>
    <t>USR-100334</t>
  </si>
  <si>
    <t>USR-100333</t>
  </si>
  <si>
    <t>USR-100332</t>
  </si>
  <si>
    <t>USR-100331</t>
  </si>
  <si>
    <t>USR-100330</t>
  </si>
  <si>
    <t>USR-100329</t>
  </si>
  <si>
    <t>USR-100328</t>
  </si>
  <si>
    <t>USR-100327</t>
  </si>
  <si>
    <t>USR-100326</t>
  </si>
  <si>
    <t>USR-100325</t>
  </si>
  <si>
    <t>USR-100324</t>
  </si>
  <si>
    <t>USR-100323</t>
  </si>
  <si>
    <t>USR-100322</t>
  </si>
  <si>
    <t>USR-100321</t>
  </si>
  <si>
    <t>USR-100320</t>
  </si>
  <si>
    <t>USR-100319</t>
  </si>
  <si>
    <t>USR-100318</t>
  </si>
  <si>
    <t>USR-100317</t>
  </si>
  <si>
    <t>USR-100316</t>
  </si>
  <si>
    <t>USR-100315</t>
  </si>
  <si>
    <t>USR-100314</t>
  </si>
  <si>
    <t>USR-100313</t>
  </si>
  <si>
    <t>USR-100312</t>
  </si>
  <si>
    <t>USR-100311</t>
  </si>
  <si>
    <t>USR-100310</t>
  </si>
  <si>
    <t>USR-100309</t>
  </si>
  <si>
    <t>USR-100308</t>
  </si>
  <si>
    <t>USR-100307</t>
  </si>
  <si>
    <t>USR-100306</t>
  </si>
  <si>
    <t>USR-100305</t>
  </si>
  <si>
    <t>USR-100304</t>
  </si>
  <si>
    <t>USR-100303</t>
  </si>
  <si>
    <t>USR-100302</t>
  </si>
  <si>
    <t>USR-100301</t>
  </si>
  <si>
    <t>USR-100300</t>
  </si>
  <si>
    <t>USR-100299</t>
  </si>
  <si>
    <t>USR-100298</t>
  </si>
  <si>
    <t>USR-100297</t>
  </si>
  <si>
    <t>USR-100296</t>
  </si>
  <si>
    <t>USR-100295</t>
  </si>
  <si>
    <t>USR-100294</t>
  </si>
  <si>
    <t>USR-100293</t>
  </si>
  <si>
    <t>USR-100292</t>
  </si>
  <si>
    <t>USR-100291</t>
  </si>
  <si>
    <t>USR-100290</t>
  </si>
  <si>
    <t>USR-100289</t>
  </si>
  <si>
    <t>USR-100288</t>
  </si>
  <si>
    <t>USR-100287</t>
  </si>
  <si>
    <t>USR-100286</t>
  </si>
  <si>
    <t>USR-100285</t>
  </si>
  <si>
    <t>USR-100284</t>
  </si>
  <si>
    <t>USR-100283</t>
  </si>
  <si>
    <t>USR-100282</t>
  </si>
  <si>
    <t>USR-100281</t>
  </si>
  <si>
    <t>USR-100280</t>
  </si>
  <si>
    <t>USR-100279</t>
  </si>
  <si>
    <t>USR-100278</t>
  </si>
  <si>
    <t>USR-100277</t>
  </si>
  <si>
    <t>USR-100276</t>
  </si>
  <si>
    <t>USR-100275</t>
  </si>
  <si>
    <t>USR-100274</t>
  </si>
  <si>
    <t>USR-100273</t>
  </si>
  <si>
    <t>USR-100272</t>
  </si>
  <si>
    <t>USR-100271</t>
  </si>
  <si>
    <t>USR-100270</t>
  </si>
  <si>
    <t>USR-100269</t>
  </si>
  <si>
    <t>USR-100268</t>
  </si>
  <si>
    <t>USR-100267</t>
  </si>
  <si>
    <t>USR-100266</t>
  </si>
  <si>
    <t>USR-100265</t>
  </si>
  <si>
    <t>USR-100264</t>
  </si>
  <si>
    <t>USR-100263</t>
  </si>
  <si>
    <t>USR-100262</t>
  </si>
  <si>
    <t>USR-100261</t>
  </si>
  <si>
    <t>USR-100260</t>
  </si>
  <si>
    <t>USR-100259</t>
  </si>
  <si>
    <t>USR-100258</t>
  </si>
  <si>
    <t>USR-100257</t>
  </si>
  <si>
    <t>USR-100256</t>
  </si>
  <si>
    <t>USR-100255</t>
  </si>
  <si>
    <t>USR-100254</t>
  </si>
  <si>
    <t>USR-100253</t>
  </si>
  <si>
    <t>USR-100252</t>
  </si>
  <si>
    <t>USR-100251</t>
  </si>
  <si>
    <t>USR-100250</t>
  </si>
  <si>
    <t>USR-100249</t>
  </si>
  <si>
    <t>USR-100248</t>
  </si>
  <si>
    <t>USR-100247</t>
  </si>
  <si>
    <t>USR-100246</t>
  </si>
  <si>
    <t>USR-100245</t>
  </si>
  <si>
    <t>USR-100244</t>
  </si>
  <si>
    <t>USR-100243</t>
  </si>
  <si>
    <t>USR-100242</t>
  </si>
  <si>
    <t>USR-100241</t>
  </si>
  <si>
    <t>USR-100240</t>
  </si>
  <si>
    <t>USR-100239</t>
  </si>
  <si>
    <t>USR-100238</t>
  </si>
  <si>
    <t>USR-100237</t>
  </si>
  <si>
    <t>USR-100236</t>
  </si>
  <si>
    <t>USR-100235</t>
  </si>
  <si>
    <t>USR-100234</t>
  </si>
  <si>
    <t>USR-100233</t>
  </si>
  <si>
    <t>USR-100232</t>
  </si>
  <si>
    <t>USR-100231</t>
  </si>
  <si>
    <t>USR-100230</t>
  </si>
  <si>
    <t>USR-100229</t>
  </si>
  <si>
    <t>USR-100228</t>
  </si>
  <si>
    <t>USR-100227</t>
  </si>
  <si>
    <t>USR-100226</t>
  </si>
  <si>
    <t>USR-100225</t>
  </si>
  <si>
    <t>USR-100224</t>
  </si>
  <si>
    <t>USR-100223</t>
  </si>
  <si>
    <t>USR-100222</t>
  </si>
  <si>
    <t>USR-100221</t>
  </si>
  <si>
    <t>USR-100220</t>
  </si>
  <si>
    <t>USR-100219</t>
  </si>
  <si>
    <t>USR-100218</t>
  </si>
  <si>
    <t>USR-100217</t>
  </si>
  <si>
    <t>USR-100216</t>
  </si>
  <si>
    <t>USR-100215</t>
  </si>
  <si>
    <t>USR-100214</t>
  </si>
  <si>
    <t>USR-100213</t>
  </si>
  <si>
    <t>USR-100212</t>
  </si>
  <si>
    <t>USR-100211</t>
  </si>
  <si>
    <t>USR-100210</t>
  </si>
  <si>
    <t>USR-100209</t>
  </si>
  <si>
    <t>USR-100208</t>
  </si>
  <si>
    <t>USR-100207</t>
  </si>
  <si>
    <t>USR-100206</t>
  </si>
  <si>
    <t>USR-100205</t>
  </si>
  <si>
    <t>USR-100204</t>
  </si>
  <si>
    <t>USR-100203</t>
  </si>
  <si>
    <t>USR-100202</t>
  </si>
  <si>
    <t>USR-100201</t>
  </si>
  <si>
    <t>USR-100200</t>
  </si>
  <si>
    <t>USR-100199</t>
  </si>
  <si>
    <t>USR-100198</t>
  </si>
  <si>
    <t>USR-100197</t>
  </si>
  <si>
    <t>USR-100196</t>
  </si>
  <si>
    <t>USR-100195</t>
  </si>
  <si>
    <t>USR-100194</t>
  </si>
  <si>
    <t>USR-100193</t>
  </si>
  <si>
    <t>USR-100192</t>
  </si>
  <si>
    <t>USR-100191</t>
  </si>
  <si>
    <t>USR-100190</t>
  </si>
  <si>
    <t>USR-100189</t>
  </si>
  <si>
    <t>USR-100188</t>
  </si>
  <si>
    <t>USR-100187</t>
  </si>
  <si>
    <t>USR-100186</t>
  </si>
  <si>
    <t>USR-100185</t>
  </si>
  <si>
    <t>USR-100184</t>
  </si>
  <si>
    <t>USR-100183</t>
  </si>
  <si>
    <t>USR-100182</t>
  </si>
  <si>
    <t>USR-100181</t>
  </si>
  <si>
    <t>USR-100180</t>
  </si>
  <si>
    <t>USR-100179</t>
  </si>
  <si>
    <t>USR-100178</t>
  </si>
  <si>
    <t>USR-100177</t>
  </si>
  <si>
    <t>USR-100176</t>
  </si>
  <si>
    <t>USR-100175</t>
  </si>
  <si>
    <t>USR-100174</t>
  </si>
  <si>
    <t>USR-100173</t>
  </si>
  <si>
    <t>USR-100172</t>
  </si>
  <si>
    <t>USR-100171</t>
  </si>
  <si>
    <t>USR-100170</t>
  </si>
  <si>
    <t>USR-100169</t>
  </si>
  <si>
    <t>USR-100168</t>
  </si>
  <si>
    <t>USR-100167</t>
  </si>
  <si>
    <t>USR-100166</t>
  </si>
  <si>
    <t>USR-100165</t>
  </si>
  <si>
    <t>USR-100164</t>
  </si>
  <si>
    <t>USR-100163</t>
  </si>
  <si>
    <t>USR-100162</t>
  </si>
  <si>
    <t>USR-100161</t>
  </si>
  <si>
    <t>USR-100160</t>
  </si>
  <si>
    <t>USR-100159</t>
  </si>
  <si>
    <t>USR-100158</t>
  </si>
  <si>
    <t>USR-100157</t>
  </si>
  <si>
    <t>USR-100156</t>
  </si>
  <si>
    <t>USR-100155</t>
  </si>
  <si>
    <t>USR-100154</t>
  </si>
  <si>
    <t>USR-100153</t>
  </si>
  <si>
    <t>USR-100152</t>
  </si>
  <si>
    <t>USR-100151</t>
  </si>
  <si>
    <t>USR-100150</t>
  </si>
  <si>
    <t>USR-100149</t>
  </si>
  <si>
    <t>USR-100148</t>
  </si>
  <si>
    <t>USR-100147</t>
  </si>
  <si>
    <t>USR-100146</t>
  </si>
  <si>
    <t>USR-100145</t>
  </si>
  <si>
    <t>USR-100144</t>
  </si>
  <si>
    <t>USR-100143</t>
  </si>
  <si>
    <t>USR-100142</t>
  </si>
  <si>
    <t>USR-100141</t>
  </si>
  <si>
    <t>USR-100140</t>
  </si>
  <si>
    <t>USR-100139</t>
  </si>
  <si>
    <t>USR-100138</t>
  </si>
  <si>
    <t>USR-100137</t>
  </si>
  <si>
    <t>USR-100136</t>
  </si>
  <si>
    <t>USR-100135</t>
  </si>
  <si>
    <t>USR-100134</t>
  </si>
  <si>
    <t>USR-100133</t>
  </si>
  <si>
    <t>USR-100132</t>
  </si>
  <si>
    <t>USR-100131</t>
  </si>
  <si>
    <t>USR-100130</t>
  </si>
  <si>
    <t>USR-100129</t>
  </si>
  <si>
    <t>USR-100128</t>
  </si>
  <si>
    <t>USR-100127</t>
  </si>
  <si>
    <t>USR-100126</t>
  </si>
  <si>
    <t>USR-100125</t>
  </si>
  <si>
    <t>USR-100124</t>
  </si>
  <si>
    <t>USR-100123</t>
  </si>
  <si>
    <t>USR-100122</t>
  </si>
  <si>
    <t>USR-100121</t>
  </si>
  <si>
    <t>USR-100120</t>
  </si>
  <si>
    <t>USR-100119</t>
  </si>
  <si>
    <t>USR-100118</t>
  </si>
  <si>
    <t>USR-100117</t>
  </si>
  <si>
    <t>USR-100116</t>
  </si>
  <si>
    <t>USR-100115</t>
  </si>
  <si>
    <t>USR-100114</t>
  </si>
  <si>
    <t>USR-100113</t>
  </si>
  <si>
    <t>USR-100112</t>
  </si>
  <si>
    <t>USR-100111</t>
  </si>
  <si>
    <t>USR-100110</t>
  </si>
  <si>
    <t>USR-100109</t>
  </si>
  <si>
    <t>USR-100108</t>
  </si>
  <si>
    <t>USR-100107</t>
  </si>
  <si>
    <t>USR-100106</t>
  </si>
  <si>
    <t>USR-100105</t>
  </si>
  <si>
    <t>USR-100104</t>
  </si>
  <si>
    <t>USR-100103</t>
  </si>
  <si>
    <t>USR-100102</t>
  </si>
  <si>
    <t>USR-100101</t>
  </si>
  <si>
    <t>USR-100100</t>
  </si>
  <si>
    <t>USR-100099</t>
  </si>
  <si>
    <t>USR-100098</t>
  </si>
  <si>
    <t>USR-100097</t>
  </si>
  <si>
    <t>USR-100096</t>
  </si>
  <si>
    <t>USR-100095</t>
  </si>
  <si>
    <t>USR-100094</t>
  </si>
  <si>
    <t>USR-100093</t>
  </si>
  <si>
    <t>USR-100092</t>
  </si>
  <si>
    <t>USR-100091</t>
  </si>
  <si>
    <t>USR-100090</t>
  </si>
  <si>
    <t>USR-100089</t>
  </si>
  <si>
    <t>USR-100088</t>
  </si>
  <si>
    <t>USR-100087</t>
  </si>
  <si>
    <t>USR-100086</t>
  </si>
  <si>
    <t>USR-100085</t>
  </si>
  <si>
    <t>USR-100084</t>
  </si>
  <si>
    <t>USR-100083</t>
  </si>
  <si>
    <t>USR-100082</t>
  </si>
  <si>
    <t>USR-100081</t>
  </si>
  <si>
    <t>USR-100080</t>
  </si>
  <si>
    <t>USR-100079</t>
  </si>
  <si>
    <t>USR-100078</t>
  </si>
  <si>
    <t>USR-100077</t>
  </si>
  <si>
    <t>USR-100076</t>
  </si>
  <si>
    <t>USR-100075</t>
  </si>
  <si>
    <t>USR-100074</t>
  </si>
  <si>
    <t>USR-100073</t>
  </si>
  <si>
    <t>USR-100072</t>
  </si>
  <si>
    <t>USR-100071</t>
  </si>
  <si>
    <t>USR-100070</t>
  </si>
  <si>
    <t>USR-100069</t>
  </si>
  <si>
    <t>USR-100068</t>
  </si>
  <si>
    <t>USR-100067</t>
  </si>
  <si>
    <t>USR-100066</t>
  </si>
  <si>
    <t>USR-100065</t>
  </si>
  <si>
    <t>USR-100064</t>
  </si>
  <si>
    <t>USR-100063</t>
  </si>
  <si>
    <t>USR-100062</t>
  </si>
  <si>
    <t>USR-100061</t>
  </si>
  <si>
    <t>USR-100060</t>
  </si>
  <si>
    <t>USR-100059</t>
  </si>
  <si>
    <t>USR-100058</t>
  </si>
  <si>
    <t>USR-100057</t>
  </si>
  <si>
    <t>USR-100056</t>
  </si>
  <si>
    <t>USR-100055</t>
  </si>
  <si>
    <t>USR-100054</t>
  </si>
  <si>
    <t>USR-100053</t>
  </si>
  <si>
    <t>USR-100052</t>
  </si>
  <si>
    <t>USR-100051</t>
  </si>
  <si>
    <t>USR-100050</t>
  </si>
  <si>
    <t>USR-100049</t>
  </si>
  <si>
    <t>USR-100048</t>
  </si>
  <si>
    <t>USR-100047</t>
  </si>
  <si>
    <t>USR-100046</t>
  </si>
  <si>
    <t>USR-100045</t>
  </si>
  <si>
    <t>USR-100044</t>
  </si>
  <si>
    <t>USR-100043</t>
  </si>
  <si>
    <t>USR-100042</t>
  </si>
  <si>
    <t>USR-100041</t>
  </si>
  <si>
    <t>USR-100040</t>
  </si>
  <si>
    <t>USR-100039</t>
  </si>
  <si>
    <t>USR-100038</t>
  </si>
  <si>
    <t>USR-100037</t>
  </si>
  <si>
    <t>USR-100036</t>
  </si>
  <si>
    <t>USR-100035</t>
  </si>
  <si>
    <t>USR-100034</t>
  </si>
  <si>
    <t>USR-100033</t>
  </si>
  <si>
    <t>USR-100032</t>
  </si>
  <si>
    <t>USR-100031</t>
  </si>
  <si>
    <t>USR-100030</t>
  </si>
  <si>
    <t>USR-100029</t>
  </si>
  <si>
    <t>USR-100028</t>
  </si>
  <si>
    <t>USR-100027</t>
  </si>
  <si>
    <t>USR-100026</t>
  </si>
  <si>
    <t>USR-100025</t>
  </si>
  <si>
    <t>USR-100024</t>
  </si>
  <si>
    <t>USR-100023</t>
  </si>
  <si>
    <t>USR-100022</t>
  </si>
  <si>
    <t>USR-100021</t>
  </si>
  <si>
    <t>USR-100020</t>
  </si>
  <si>
    <t>USR-100019</t>
  </si>
  <si>
    <t>USR-100018</t>
  </si>
  <si>
    <t>USR-100017</t>
  </si>
  <si>
    <t>USR-100016</t>
  </si>
  <si>
    <t>USR-100015</t>
  </si>
  <si>
    <t>USR-100014</t>
  </si>
  <si>
    <t>USR-100013</t>
  </si>
  <si>
    <t>USR-100012</t>
  </si>
  <si>
    <t>USR-100011</t>
  </si>
  <si>
    <t>USR-100010</t>
  </si>
  <si>
    <t>USR-100009</t>
  </si>
  <si>
    <t>USR-100008</t>
  </si>
  <si>
    <t>USR-100007</t>
  </si>
  <si>
    <t>USR-100006</t>
  </si>
  <si>
    <t>USR-100005</t>
  </si>
  <si>
    <t>USR-100004</t>
  </si>
  <si>
    <t>USR-100003</t>
  </si>
  <si>
    <t>USR-100002</t>
  </si>
  <si>
    <t>USR-100001</t>
  </si>
  <si>
    <t>engagement_score</t>
  </si>
  <si>
    <t>days_to_convert</t>
  </si>
  <si>
    <t>refund_requested</t>
  </si>
  <si>
    <t>support_tickets_30d</t>
  </si>
  <si>
    <t>revenue_30d</t>
  </si>
  <si>
    <t>converted_to_paid</t>
  </si>
  <si>
    <t>completed_onboarding</t>
  </si>
  <si>
    <t>started_trial</t>
  </si>
  <si>
    <t>visited_landing_page</t>
  </si>
  <si>
    <t>plan_type</t>
  </si>
  <si>
    <t>traffic_source</t>
  </si>
  <si>
    <t>device_type</t>
  </si>
  <si>
    <t>region</t>
  </si>
  <si>
    <t>experiment_group</t>
  </si>
  <si>
    <t>signup_date</t>
  </si>
  <si>
    <t>user_id</t>
  </si>
  <si>
    <t>Landing page Visit Rate</t>
  </si>
  <si>
    <t>Count of user_id</t>
  </si>
  <si>
    <t>Column Labels</t>
  </si>
  <si>
    <t>Average of engagement_score</t>
  </si>
  <si>
    <t>Row Labels</t>
  </si>
  <si>
    <t>Grand Total</t>
  </si>
  <si>
    <t>Average of revenue_30d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</si>
</sst>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/>
    <xf numFmtId="10" fontId="1" fillId="3" borderId="1" xfId="0" applyNumberFormat="1" applyFont="1" applyFill="1" applyBorder="1"/>
    <xf numFmtId="0" fontId="3" fillId="4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dun" refreshedDate="46206.592281481484" backgroundQuery="1" createdVersion="8" refreshedVersion="8" minRefreshableVersion="3" recordCount="0" supportSubquery="1" supportAdvancedDrill="1" xr:uid="{5196E12E-6D80-4D98-BFCC-2841E150CA1F}">
  <cacheSource type="external" connectionId="1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Range].[traffic_source].[traffic_source]" caption="traffic_source" numFmtId="0" hierarchy="5" level="1">
      <sharedItems count="6">
        <s v="Email"/>
        <s v="Organic"/>
        <s v="Paid Search"/>
        <s v="Referral"/>
        <s v="Social"/>
        <s v="Unknown"/>
      </sharedItems>
    </cacheField>
    <cacheField name="[Measures].[Average of revenue_30d]" caption="Average of revenue_30d" numFmtId="0" hierarchy="22" level="32767"/>
  </cacheFields>
  <cacheHierarchies count="23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dun" refreshedDate="46206.591510185186" backgroundQuery="1" createdVersion="8" refreshedVersion="8" minRefreshableVersion="3" recordCount="0" supportSubquery="1" supportAdvancedDrill="1" xr:uid="{87CBADD6-A388-4E78-B4E5-BAEA2078B818}">
  <cacheSource type="external" connectionId="1"/>
  <cacheFields count="3">
    <cacheField name="[Range].[device_type].[device_type]" caption="device_type" numFmtId="0" hierarchy="4" level="1">
      <sharedItems count="4">
        <s v="Desktop"/>
        <s v="Mobile"/>
        <s v="Tablet"/>
        <s v="Unknown"/>
      </sharedItems>
    </cacheField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Measures].[Average of engagement_score]" caption="Average of engagement_score" numFmtId="0" hierarchy="20" level="32767"/>
  </cacheFields>
  <cacheHierarchies count="23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dun" refreshedDate="46206.589766898149" backgroundQuery="1" createdVersion="8" refreshedVersion="8" minRefreshableVersion="3" recordCount="0" supportSubquery="1" supportAdvancedDrill="1" xr:uid="{462A5499-16E0-4701-9BFD-8D37DEB48308}">
  <cacheSource type="external" connectionId="1"/>
  <cacheFields count="3">
    <cacheField name="[Measures].[Count of user_id]" caption="Count of user_id" numFmtId="0" hierarchy="18" level="32767"/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Range].[region].[region]" caption="region" numFmtId="0" hierarchy="3" level="1">
      <sharedItems count="4">
        <s v="East"/>
        <s v="North"/>
        <s v="South"/>
        <s v="West"/>
      </sharedItems>
    </cacheField>
  </cacheFields>
  <cacheHierarchies count="23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561D4-3CBB-4845-B3D1-62BA07ACA14F}" name="PivotTable22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ing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FC93D-54ED-4324-ADBF-14976BCA5F09}" name="PivotTable21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K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engagement_score" fld="2" subtotal="average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ngagement_scor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ing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A1F3F-4282-4BC6-8038-6507565E45A8}" name="PivotTable20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G21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revenue_30d" fld="2" subtotal="average" baseField="1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revenue_30d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ing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896B-D971-4CEA-83C5-8C25B17D133E}">
  <dimension ref="A1:P1409"/>
  <sheetViews>
    <sheetView workbookViewId="0">
      <selection sqref="A1:P1409"/>
    </sheetView>
  </sheetViews>
  <sheetFormatPr defaultRowHeight="14.5"/>
  <sheetData>
    <row r="1" spans="1:16" ht="42">
      <c r="A1" s="2" t="s">
        <v>1444</v>
      </c>
      <c r="B1" s="2" t="s">
        <v>1443</v>
      </c>
      <c r="C1" s="2" t="s">
        <v>1442</v>
      </c>
      <c r="D1" s="2" t="s">
        <v>1441</v>
      </c>
      <c r="E1" s="2" t="s">
        <v>1440</v>
      </c>
      <c r="F1" s="2" t="s">
        <v>1439</v>
      </c>
      <c r="G1" s="2" t="s">
        <v>1438</v>
      </c>
      <c r="H1" s="2" t="s">
        <v>1437</v>
      </c>
      <c r="I1" s="2" t="s">
        <v>1436</v>
      </c>
      <c r="J1" s="2" t="s">
        <v>1435</v>
      </c>
      <c r="K1" s="2" t="s">
        <v>1434</v>
      </c>
      <c r="L1" s="2" t="s">
        <v>1433</v>
      </c>
      <c r="M1" s="2" t="s">
        <v>1432</v>
      </c>
      <c r="N1" s="2" t="s">
        <v>1431</v>
      </c>
      <c r="O1" s="2" t="s">
        <v>1430</v>
      </c>
      <c r="P1" s="2" t="s">
        <v>1429</v>
      </c>
    </row>
    <row r="2" spans="1:16">
      <c r="A2" t="s">
        <v>1428</v>
      </c>
      <c r="B2" s="1">
        <v>45732</v>
      </c>
      <c r="C2" t="s">
        <v>1</v>
      </c>
      <c r="D2" t="s">
        <v>16</v>
      </c>
      <c r="E2" t="s">
        <v>25</v>
      </c>
      <c r="F2" t="s">
        <v>23</v>
      </c>
      <c r="G2" t="s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1427</v>
      </c>
      <c r="B3" s="1">
        <v>45724</v>
      </c>
      <c r="C3" t="s">
        <v>1</v>
      </c>
      <c r="D3" t="s">
        <v>21</v>
      </c>
      <c r="E3" t="s">
        <v>15</v>
      </c>
      <c r="F3" t="s">
        <v>18</v>
      </c>
      <c r="G3" t="s">
        <v>17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1426</v>
      </c>
      <c r="B4" s="1">
        <v>45771</v>
      </c>
      <c r="C4" t="s">
        <v>1</v>
      </c>
      <c r="D4" t="s">
        <v>20</v>
      </c>
      <c r="E4" t="s">
        <v>15</v>
      </c>
      <c r="F4" t="s">
        <v>14</v>
      </c>
      <c r="G4" t="s">
        <v>29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1425</v>
      </c>
      <c r="B5" s="1">
        <v>45781</v>
      </c>
      <c r="C5" t="s">
        <v>1</v>
      </c>
      <c r="D5" t="s">
        <v>19</v>
      </c>
      <c r="E5" t="s">
        <v>15</v>
      </c>
      <c r="F5" t="s">
        <v>23</v>
      </c>
      <c r="G5" t="s">
        <v>13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1424</v>
      </c>
      <c r="B6" s="1">
        <v>45700</v>
      </c>
      <c r="C6" t="s">
        <v>1</v>
      </c>
      <c r="D6" t="s">
        <v>16</v>
      </c>
      <c r="E6" t="s">
        <v>24</v>
      </c>
      <c r="F6" t="s">
        <v>18</v>
      </c>
      <c r="G6" t="s">
        <v>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1423</v>
      </c>
      <c r="B7" s="1">
        <v>45685</v>
      </c>
      <c r="C7" t="s">
        <v>1</v>
      </c>
      <c r="D7" t="s">
        <v>20</v>
      </c>
      <c r="E7" t="s">
        <v>15</v>
      </c>
      <c r="F7" t="s">
        <v>18</v>
      </c>
      <c r="G7" t="s">
        <v>29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1422</v>
      </c>
      <c r="B8" s="1">
        <v>45755</v>
      </c>
      <c r="C8" t="s">
        <v>1</v>
      </c>
      <c r="D8" t="s">
        <v>20</v>
      </c>
      <c r="E8" t="s">
        <v>15</v>
      </c>
      <c r="F8" t="s">
        <v>14</v>
      </c>
      <c r="G8" t="s">
        <v>13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1421</v>
      </c>
      <c r="B9" s="1">
        <v>45794</v>
      </c>
      <c r="C9" t="s">
        <v>1</v>
      </c>
      <c r="D9" t="s">
        <v>19</v>
      </c>
      <c r="E9" t="s">
        <v>15</v>
      </c>
      <c r="F9" t="s">
        <v>14</v>
      </c>
      <c r="G9" t="s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1420</v>
      </c>
      <c r="B10" s="1">
        <v>45711</v>
      </c>
      <c r="C10" t="s">
        <v>1</v>
      </c>
      <c r="D10" t="s">
        <v>19</v>
      </c>
      <c r="E10" t="s">
        <v>24</v>
      </c>
      <c r="F10" t="s">
        <v>27</v>
      </c>
      <c r="G10" t="s">
        <v>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1419</v>
      </c>
      <c r="B11" s="1">
        <v>45806</v>
      </c>
      <c r="C11" t="s">
        <v>1</v>
      </c>
      <c r="D11" t="s">
        <v>21</v>
      </c>
      <c r="E11" t="s">
        <v>25</v>
      </c>
      <c r="F11" t="s">
        <v>22</v>
      </c>
      <c r="G11" t="s">
        <v>17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1418</v>
      </c>
      <c r="B12" s="1">
        <v>45777</v>
      </c>
      <c r="C12" t="s">
        <v>1</v>
      </c>
      <c r="D12" t="s">
        <v>20</v>
      </c>
      <c r="E12" t="s">
        <v>15</v>
      </c>
      <c r="F12" t="s">
        <v>14</v>
      </c>
      <c r="G12" t="s">
        <v>13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1417</v>
      </c>
      <c r="B13" s="1">
        <v>45732</v>
      </c>
      <c r="C13" t="s">
        <v>1</v>
      </c>
      <c r="D13" t="s">
        <v>20</v>
      </c>
      <c r="E13" t="s">
        <v>15</v>
      </c>
      <c r="F13" t="s">
        <v>22</v>
      </c>
      <c r="G13" t="s">
        <v>29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1416</v>
      </c>
      <c r="B14" s="1">
        <v>45695</v>
      </c>
      <c r="C14" t="s">
        <v>1</v>
      </c>
      <c r="D14" t="s">
        <v>19</v>
      </c>
      <c r="E14" t="s">
        <v>25</v>
      </c>
      <c r="F14" t="s">
        <v>23</v>
      </c>
      <c r="G14" t="s">
        <v>13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1415</v>
      </c>
      <c r="B15" s="1">
        <v>45718</v>
      </c>
      <c r="C15" t="s">
        <v>1</v>
      </c>
      <c r="D15" t="s">
        <v>21</v>
      </c>
      <c r="E15" t="s">
        <v>15</v>
      </c>
      <c r="F15" t="s">
        <v>22</v>
      </c>
      <c r="G15" t="s">
        <v>13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1414</v>
      </c>
      <c r="B16" s="1">
        <v>45807</v>
      </c>
      <c r="C16" t="s">
        <v>1</v>
      </c>
      <c r="D16" t="s">
        <v>19</v>
      </c>
      <c r="E16" t="s">
        <v>15</v>
      </c>
      <c r="F16" t="s">
        <v>18</v>
      </c>
      <c r="G16" t="s">
        <v>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1413</v>
      </c>
      <c r="B17" s="1">
        <v>45741</v>
      </c>
      <c r="C17" t="s">
        <v>1</v>
      </c>
      <c r="D17" t="s">
        <v>19</v>
      </c>
      <c r="E17" t="s">
        <v>15</v>
      </c>
      <c r="F17" t="s">
        <v>22</v>
      </c>
      <c r="G17" t="s">
        <v>13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1412</v>
      </c>
      <c r="B18" s="1">
        <v>45743</v>
      </c>
      <c r="C18" t="s">
        <v>1</v>
      </c>
      <c r="D18" t="s">
        <v>20</v>
      </c>
      <c r="E18" t="s">
        <v>25</v>
      </c>
      <c r="F18" t="s">
        <v>14</v>
      </c>
      <c r="G18" t="s">
        <v>17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1411</v>
      </c>
      <c r="B19" s="1">
        <v>45805</v>
      </c>
      <c r="C19" t="s">
        <v>1</v>
      </c>
      <c r="D19" t="s">
        <v>19</v>
      </c>
      <c r="E19" t="s">
        <v>25</v>
      </c>
      <c r="F19" t="s">
        <v>14</v>
      </c>
      <c r="G19" t="s">
        <v>17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1410</v>
      </c>
      <c r="B20" s="1">
        <v>45703</v>
      </c>
      <c r="C20" t="s">
        <v>1</v>
      </c>
      <c r="D20" t="s">
        <v>16</v>
      </c>
      <c r="E20" t="s">
        <v>25</v>
      </c>
      <c r="F20" t="s">
        <v>14</v>
      </c>
      <c r="G20" t="s">
        <v>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1409</v>
      </c>
      <c r="B21" s="1">
        <v>45782</v>
      </c>
      <c r="C21" t="s">
        <v>1</v>
      </c>
      <c r="D21" t="s">
        <v>21</v>
      </c>
      <c r="E21" t="s">
        <v>25</v>
      </c>
      <c r="F21" t="s">
        <v>18</v>
      </c>
      <c r="G21" t="s">
        <v>13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1408</v>
      </c>
      <c r="B22" s="1">
        <v>45760</v>
      </c>
      <c r="C22" t="s">
        <v>1</v>
      </c>
      <c r="D22" t="s">
        <v>20</v>
      </c>
      <c r="E22" t="s">
        <v>15</v>
      </c>
      <c r="F22" t="s">
        <v>22</v>
      </c>
      <c r="G22" t="s">
        <v>17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1407</v>
      </c>
      <c r="B23" s="1">
        <v>45784</v>
      </c>
      <c r="C23" t="s">
        <v>1</v>
      </c>
      <c r="D23" t="s">
        <v>16</v>
      </c>
      <c r="E23" t="s">
        <v>25</v>
      </c>
      <c r="F23" t="s">
        <v>14</v>
      </c>
      <c r="G23" t="s">
        <v>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1406</v>
      </c>
      <c r="B24" s="1">
        <v>45802</v>
      </c>
      <c r="C24" t="s">
        <v>1</v>
      </c>
      <c r="D24" t="s">
        <v>16</v>
      </c>
      <c r="E24" t="s">
        <v>25</v>
      </c>
      <c r="F24" t="s">
        <v>18</v>
      </c>
      <c r="G24" t="s">
        <v>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1405</v>
      </c>
      <c r="B25" s="1">
        <v>45748</v>
      </c>
      <c r="C25" t="s">
        <v>1</v>
      </c>
      <c r="D25" t="s">
        <v>20</v>
      </c>
      <c r="E25" t="s">
        <v>15</v>
      </c>
      <c r="F25" t="s">
        <v>14</v>
      </c>
      <c r="G25" t="s">
        <v>29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1404</v>
      </c>
      <c r="B26" s="1">
        <v>45710</v>
      </c>
      <c r="C26" t="s">
        <v>1</v>
      </c>
      <c r="D26" t="s">
        <v>16</v>
      </c>
      <c r="E26" t="s">
        <v>15</v>
      </c>
      <c r="F26" t="s">
        <v>14</v>
      </c>
      <c r="G26" t="s">
        <v>29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1403</v>
      </c>
      <c r="B27" s="1">
        <v>45740</v>
      </c>
      <c r="C27" t="s">
        <v>1</v>
      </c>
      <c r="D27" t="s">
        <v>20</v>
      </c>
      <c r="E27" t="s">
        <v>15</v>
      </c>
      <c r="F27" t="s">
        <v>18</v>
      </c>
      <c r="G27" t="s">
        <v>13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1402</v>
      </c>
      <c r="B28" s="1">
        <v>45701</v>
      </c>
      <c r="C28" t="s">
        <v>1</v>
      </c>
      <c r="D28" t="s">
        <v>16</v>
      </c>
      <c r="E28" t="s">
        <v>15</v>
      </c>
      <c r="F28" t="s">
        <v>18</v>
      </c>
      <c r="G28" t="s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1401</v>
      </c>
      <c r="B29" s="1">
        <v>45807</v>
      </c>
      <c r="C29" t="s">
        <v>1</v>
      </c>
      <c r="D29" t="s">
        <v>19</v>
      </c>
      <c r="E29" t="s">
        <v>15</v>
      </c>
      <c r="F29" t="s">
        <v>18</v>
      </c>
      <c r="G29" t="s">
        <v>17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1400</v>
      </c>
      <c r="B30" s="1">
        <v>45677</v>
      </c>
      <c r="C30" t="s">
        <v>1</v>
      </c>
      <c r="D30" t="s">
        <v>20</v>
      </c>
      <c r="E30" t="s">
        <v>24</v>
      </c>
      <c r="F30" t="s">
        <v>18</v>
      </c>
      <c r="G30" t="s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1399</v>
      </c>
      <c r="B31" s="1">
        <v>45796</v>
      </c>
      <c r="C31" t="s">
        <v>1</v>
      </c>
      <c r="D31" t="s">
        <v>20</v>
      </c>
      <c r="E31" t="s">
        <v>15</v>
      </c>
      <c r="F31" t="s">
        <v>22</v>
      </c>
      <c r="G31" t="s">
        <v>13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1398</v>
      </c>
      <c r="B32" s="1">
        <v>45706</v>
      </c>
      <c r="C32" t="s">
        <v>1</v>
      </c>
      <c r="D32" t="s">
        <v>19</v>
      </c>
      <c r="E32" t="s">
        <v>15</v>
      </c>
      <c r="F32" t="s">
        <v>18</v>
      </c>
      <c r="G32" t="s">
        <v>13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1397</v>
      </c>
      <c r="B33" s="1">
        <v>45701</v>
      </c>
      <c r="C33" t="s">
        <v>1</v>
      </c>
      <c r="D33" t="s">
        <v>20</v>
      </c>
      <c r="E33" t="s">
        <v>15</v>
      </c>
      <c r="F33" t="s">
        <v>18</v>
      </c>
      <c r="G33" t="s">
        <v>17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1396</v>
      </c>
      <c r="B34" s="1">
        <v>45724</v>
      </c>
      <c r="C34" t="s">
        <v>1</v>
      </c>
      <c r="D34" t="s">
        <v>20</v>
      </c>
      <c r="E34" t="s">
        <v>25</v>
      </c>
      <c r="F34" t="s">
        <v>27</v>
      </c>
      <c r="G34" t="s">
        <v>29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1395</v>
      </c>
      <c r="B35" s="1">
        <v>45668</v>
      </c>
      <c r="C35" t="s">
        <v>1</v>
      </c>
      <c r="D35" t="s">
        <v>16</v>
      </c>
      <c r="E35" t="s">
        <v>15</v>
      </c>
      <c r="F35" t="s">
        <v>14</v>
      </c>
      <c r="G35" t="s">
        <v>17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1394</v>
      </c>
      <c r="B36" s="1">
        <v>45700</v>
      </c>
      <c r="C36" t="s">
        <v>1</v>
      </c>
      <c r="D36" t="s">
        <v>16</v>
      </c>
      <c r="E36" t="s">
        <v>25</v>
      </c>
      <c r="F36" t="s">
        <v>18</v>
      </c>
      <c r="G36" t="s">
        <v>17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1393</v>
      </c>
      <c r="B37" s="1">
        <v>45760</v>
      </c>
      <c r="C37" t="s">
        <v>1</v>
      </c>
      <c r="D37" t="s">
        <v>20</v>
      </c>
      <c r="E37" t="s">
        <v>25</v>
      </c>
      <c r="F37" t="s">
        <v>18</v>
      </c>
      <c r="G37" t="s">
        <v>13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1392</v>
      </c>
      <c r="B38" s="1">
        <v>45786</v>
      </c>
      <c r="C38" t="s">
        <v>1</v>
      </c>
      <c r="D38" t="s">
        <v>20</v>
      </c>
      <c r="E38" t="s">
        <v>15</v>
      </c>
      <c r="F38" t="s">
        <v>18</v>
      </c>
      <c r="G38" t="s">
        <v>29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1391</v>
      </c>
      <c r="B39" s="1">
        <v>45677</v>
      </c>
      <c r="C39" t="s">
        <v>1</v>
      </c>
      <c r="D39" t="s">
        <v>20</v>
      </c>
      <c r="E39" t="s">
        <v>15</v>
      </c>
      <c r="F39" t="s">
        <v>18</v>
      </c>
      <c r="G39" t="s">
        <v>17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1390</v>
      </c>
      <c r="B40" s="1">
        <v>45790</v>
      </c>
      <c r="C40" t="s">
        <v>1</v>
      </c>
      <c r="D40" t="s">
        <v>20</v>
      </c>
      <c r="E40" t="s">
        <v>15</v>
      </c>
      <c r="F40" t="s">
        <v>23</v>
      </c>
      <c r="G40" t="s">
        <v>29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1389</v>
      </c>
      <c r="B41" s="1">
        <v>45754</v>
      </c>
      <c r="C41" t="s">
        <v>1</v>
      </c>
      <c r="D41" t="s">
        <v>16</v>
      </c>
      <c r="E41" t="s">
        <v>25</v>
      </c>
      <c r="F41" t="s">
        <v>18</v>
      </c>
      <c r="G41" t="s">
        <v>13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1388</v>
      </c>
      <c r="B42" s="1">
        <v>45747</v>
      </c>
      <c r="C42" t="s">
        <v>1</v>
      </c>
      <c r="D42" t="s">
        <v>16</v>
      </c>
      <c r="E42" t="s">
        <v>25</v>
      </c>
      <c r="F42" t="s">
        <v>18</v>
      </c>
      <c r="G42" t="s">
        <v>17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1387</v>
      </c>
      <c r="B43" s="1">
        <v>45682</v>
      </c>
      <c r="C43" t="s">
        <v>1</v>
      </c>
      <c r="D43" t="s">
        <v>20</v>
      </c>
      <c r="E43" t="s">
        <v>15</v>
      </c>
      <c r="F43" t="s">
        <v>23</v>
      </c>
      <c r="G43" t="s">
        <v>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1386</v>
      </c>
      <c r="B44" s="1">
        <v>45702</v>
      </c>
      <c r="C44" t="s">
        <v>1</v>
      </c>
      <c r="D44" t="s">
        <v>19</v>
      </c>
      <c r="E44" t="s">
        <v>25</v>
      </c>
      <c r="F44" t="s">
        <v>18</v>
      </c>
      <c r="G44" t="s">
        <v>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1385</v>
      </c>
      <c r="B45" s="1">
        <v>45715</v>
      </c>
      <c r="C45" t="s">
        <v>1</v>
      </c>
      <c r="D45" t="s">
        <v>20</v>
      </c>
      <c r="E45" t="s">
        <v>15</v>
      </c>
      <c r="F45" t="s">
        <v>23</v>
      </c>
      <c r="G45" t="s">
        <v>17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1384</v>
      </c>
      <c r="B46" s="1">
        <v>45744</v>
      </c>
      <c r="C46" t="s">
        <v>1</v>
      </c>
      <c r="D46" t="s">
        <v>20</v>
      </c>
      <c r="E46" t="s">
        <v>15</v>
      </c>
      <c r="F46" t="s">
        <v>22</v>
      </c>
      <c r="G46" t="s">
        <v>17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1383</v>
      </c>
      <c r="B47" s="1">
        <v>45802</v>
      </c>
      <c r="C47" t="s">
        <v>1</v>
      </c>
      <c r="D47" t="s">
        <v>20</v>
      </c>
      <c r="E47" t="s">
        <v>15</v>
      </c>
      <c r="F47" t="s">
        <v>27</v>
      </c>
      <c r="G47" t="s">
        <v>29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1382</v>
      </c>
      <c r="B48" s="1">
        <v>45782</v>
      </c>
      <c r="C48" t="s">
        <v>1</v>
      </c>
      <c r="D48" t="s">
        <v>21</v>
      </c>
      <c r="E48" t="s">
        <v>25</v>
      </c>
      <c r="F48" t="s">
        <v>18</v>
      </c>
      <c r="G48" t="s">
        <v>17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1381</v>
      </c>
      <c r="B49" s="1">
        <v>45793</v>
      </c>
      <c r="C49" t="s">
        <v>1</v>
      </c>
      <c r="D49" t="s">
        <v>16</v>
      </c>
      <c r="E49" t="s">
        <v>15</v>
      </c>
      <c r="F49" t="s">
        <v>18</v>
      </c>
      <c r="G49" t="s">
        <v>17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1380</v>
      </c>
      <c r="B50" s="1">
        <v>45665</v>
      </c>
      <c r="C50" t="s">
        <v>1</v>
      </c>
      <c r="D50" t="s">
        <v>16</v>
      </c>
      <c r="E50" t="s">
        <v>15</v>
      </c>
      <c r="F50" t="s">
        <v>22</v>
      </c>
      <c r="G50" t="s">
        <v>17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1379</v>
      </c>
      <c r="B51" s="1">
        <v>45663</v>
      </c>
      <c r="C51" t="s">
        <v>1</v>
      </c>
      <c r="D51" t="s">
        <v>21</v>
      </c>
      <c r="E51" t="s">
        <v>25</v>
      </c>
      <c r="F51" t="s">
        <v>14</v>
      </c>
      <c r="G51" t="s">
        <v>17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1378</v>
      </c>
      <c r="B52" s="1">
        <v>45669</v>
      </c>
      <c r="C52" t="s">
        <v>1</v>
      </c>
      <c r="D52" t="s">
        <v>16</v>
      </c>
      <c r="E52" t="s">
        <v>15</v>
      </c>
      <c r="F52" t="s">
        <v>22</v>
      </c>
      <c r="G52" t="s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1377</v>
      </c>
      <c r="B53" s="1">
        <v>45702</v>
      </c>
      <c r="C53" t="s">
        <v>1</v>
      </c>
      <c r="D53" t="s">
        <v>20</v>
      </c>
      <c r="E53" t="s">
        <v>25</v>
      </c>
      <c r="F53" t="s">
        <v>23</v>
      </c>
      <c r="G53" t="s">
        <v>29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1376</v>
      </c>
      <c r="B54" s="1">
        <v>45726</v>
      </c>
      <c r="C54" t="s">
        <v>1</v>
      </c>
      <c r="D54" t="s">
        <v>19</v>
      </c>
      <c r="E54" t="s">
        <v>24</v>
      </c>
      <c r="F54" t="s">
        <v>18</v>
      </c>
      <c r="G54" t="s">
        <v>17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1375</v>
      </c>
      <c r="B55" s="1">
        <v>45767</v>
      </c>
      <c r="C55" t="s">
        <v>1</v>
      </c>
      <c r="D55" t="s">
        <v>21</v>
      </c>
      <c r="E55" t="s">
        <v>25</v>
      </c>
      <c r="F55" t="s">
        <v>18</v>
      </c>
      <c r="G55" t="s">
        <v>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1374</v>
      </c>
      <c r="B56" s="1">
        <v>45707</v>
      </c>
      <c r="C56" t="s">
        <v>1</v>
      </c>
      <c r="D56" t="s">
        <v>19</v>
      </c>
      <c r="E56" t="s">
        <v>15</v>
      </c>
      <c r="F56" t="s">
        <v>18</v>
      </c>
      <c r="G56" t="s">
        <v>17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1373</v>
      </c>
      <c r="B57" s="1">
        <v>45794</v>
      </c>
      <c r="C57" t="s">
        <v>1</v>
      </c>
      <c r="D57" t="s">
        <v>19</v>
      </c>
      <c r="E57" t="s">
        <v>15</v>
      </c>
      <c r="F57" t="s">
        <v>22</v>
      </c>
      <c r="G57" t="s">
        <v>13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1372</v>
      </c>
      <c r="B58" s="1">
        <v>45748</v>
      </c>
      <c r="C58" t="s">
        <v>1</v>
      </c>
      <c r="D58" t="s">
        <v>20</v>
      </c>
      <c r="E58" t="s">
        <v>15</v>
      </c>
      <c r="F58" t="s">
        <v>22</v>
      </c>
      <c r="G58" t="s">
        <v>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1371</v>
      </c>
      <c r="B59" s="1">
        <v>45692</v>
      </c>
      <c r="C59" t="s">
        <v>1</v>
      </c>
      <c r="D59" t="s">
        <v>16</v>
      </c>
      <c r="E59" t="s">
        <v>25</v>
      </c>
      <c r="F59" t="s">
        <v>18</v>
      </c>
      <c r="G59" t="s">
        <v>17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1370</v>
      </c>
      <c r="B60" s="1">
        <v>45761</v>
      </c>
      <c r="C60" t="s">
        <v>1</v>
      </c>
      <c r="D60" t="s">
        <v>16</v>
      </c>
      <c r="E60" t="s">
        <v>15</v>
      </c>
      <c r="F60" t="s">
        <v>22</v>
      </c>
      <c r="G60" t="s">
        <v>17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1369</v>
      </c>
      <c r="B61" s="1">
        <v>45658</v>
      </c>
      <c r="C61" t="s">
        <v>1</v>
      </c>
      <c r="D61" t="s">
        <v>21</v>
      </c>
      <c r="E61" t="s">
        <v>15</v>
      </c>
      <c r="F61" t="s">
        <v>22</v>
      </c>
      <c r="G61" t="s">
        <v>17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1368</v>
      </c>
      <c r="B62" s="1">
        <v>45749</v>
      </c>
      <c r="C62" t="s">
        <v>1</v>
      </c>
      <c r="D62" t="s">
        <v>19</v>
      </c>
      <c r="E62" t="s">
        <v>15</v>
      </c>
      <c r="F62" t="s">
        <v>27</v>
      </c>
      <c r="G62" t="s">
        <v>17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1367</v>
      </c>
      <c r="B63" s="1">
        <v>45745</v>
      </c>
      <c r="C63" t="s">
        <v>1</v>
      </c>
      <c r="D63" t="s">
        <v>16</v>
      </c>
      <c r="E63" t="s">
        <v>15</v>
      </c>
      <c r="F63" t="s">
        <v>22</v>
      </c>
      <c r="G63" t="s">
        <v>29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1366</v>
      </c>
      <c r="B64" s="1">
        <v>45792</v>
      </c>
      <c r="C64" t="s">
        <v>1</v>
      </c>
      <c r="D64" t="s">
        <v>19</v>
      </c>
      <c r="E64" t="s">
        <v>25</v>
      </c>
      <c r="F64" t="s">
        <v>18</v>
      </c>
      <c r="G64" t="s">
        <v>17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1365</v>
      </c>
      <c r="B65" s="1">
        <v>45758</v>
      </c>
      <c r="C65" t="s">
        <v>1</v>
      </c>
      <c r="D65" t="s">
        <v>16</v>
      </c>
      <c r="E65" t="s">
        <v>15</v>
      </c>
      <c r="F65" t="s">
        <v>18</v>
      </c>
      <c r="G65" t="s">
        <v>13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1364</v>
      </c>
      <c r="B66" s="1">
        <v>45723</v>
      </c>
      <c r="C66" t="s">
        <v>1</v>
      </c>
      <c r="D66" t="s">
        <v>19</v>
      </c>
      <c r="E66" t="s">
        <v>25</v>
      </c>
      <c r="F66" t="s">
        <v>14</v>
      </c>
      <c r="G66" t="s">
        <v>17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1363</v>
      </c>
      <c r="B67" s="1">
        <v>45807</v>
      </c>
      <c r="C67" t="s">
        <v>1</v>
      </c>
      <c r="D67" t="s">
        <v>19</v>
      </c>
      <c r="E67" t="s">
        <v>15</v>
      </c>
      <c r="F67" t="s">
        <v>18</v>
      </c>
      <c r="G67" t="s">
        <v>17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1362</v>
      </c>
      <c r="B68" s="1">
        <v>45664</v>
      </c>
      <c r="C68" t="s">
        <v>1</v>
      </c>
      <c r="D68" t="s">
        <v>19</v>
      </c>
      <c r="E68" t="s">
        <v>25</v>
      </c>
      <c r="F68" t="s">
        <v>18</v>
      </c>
      <c r="G68" t="s">
        <v>29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1361</v>
      </c>
      <c r="B69" s="1">
        <v>45785</v>
      </c>
      <c r="C69" t="s">
        <v>1</v>
      </c>
      <c r="D69" t="s">
        <v>21</v>
      </c>
      <c r="E69" t="s">
        <v>15</v>
      </c>
      <c r="F69" t="s">
        <v>22</v>
      </c>
      <c r="G69" t="s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1360</v>
      </c>
      <c r="B70" s="1">
        <v>45735</v>
      </c>
      <c r="C70" t="s">
        <v>1</v>
      </c>
      <c r="D70" t="s">
        <v>20</v>
      </c>
      <c r="E70" t="s">
        <v>25</v>
      </c>
      <c r="F70" t="s">
        <v>23</v>
      </c>
      <c r="G70" t="s">
        <v>17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1359</v>
      </c>
      <c r="B71" s="1">
        <v>45793</v>
      </c>
      <c r="C71" t="s">
        <v>1</v>
      </c>
      <c r="D71" t="s">
        <v>16</v>
      </c>
      <c r="E71" t="s">
        <v>25</v>
      </c>
      <c r="F71" t="s">
        <v>18</v>
      </c>
      <c r="G71" t="s">
        <v>17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1358</v>
      </c>
      <c r="B72" s="1">
        <v>45724</v>
      </c>
      <c r="C72" t="s">
        <v>1</v>
      </c>
      <c r="D72" t="s">
        <v>21</v>
      </c>
      <c r="E72" t="s">
        <v>15</v>
      </c>
      <c r="F72" t="s">
        <v>23</v>
      </c>
      <c r="G72" t="s">
        <v>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1357</v>
      </c>
      <c r="B73" s="1">
        <v>45724</v>
      </c>
      <c r="C73" t="s">
        <v>1</v>
      </c>
      <c r="D73" t="s">
        <v>20</v>
      </c>
      <c r="E73" t="s">
        <v>15</v>
      </c>
      <c r="F73" t="s">
        <v>23</v>
      </c>
      <c r="G73" t="s">
        <v>17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1356</v>
      </c>
      <c r="B74" s="1">
        <v>45671</v>
      </c>
      <c r="C74" t="s">
        <v>1</v>
      </c>
      <c r="D74" t="s">
        <v>20</v>
      </c>
      <c r="E74" t="s">
        <v>25</v>
      </c>
      <c r="F74" t="s">
        <v>14</v>
      </c>
      <c r="G74" t="s">
        <v>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1355</v>
      </c>
      <c r="B75" s="1">
        <v>45698</v>
      </c>
      <c r="C75" t="s">
        <v>1</v>
      </c>
      <c r="D75" t="s">
        <v>19</v>
      </c>
      <c r="E75" t="s">
        <v>15</v>
      </c>
      <c r="F75" t="s">
        <v>14</v>
      </c>
      <c r="G75" t="s">
        <v>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1354</v>
      </c>
      <c r="B76" s="1">
        <v>45733</v>
      </c>
      <c r="C76" t="s">
        <v>1</v>
      </c>
      <c r="D76" t="s">
        <v>16</v>
      </c>
      <c r="E76" t="s">
        <v>15</v>
      </c>
      <c r="F76" t="s">
        <v>18</v>
      </c>
      <c r="G76" t="s">
        <v>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1353</v>
      </c>
      <c r="B77" s="1">
        <v>45666</v>
      </c>
      <c r="C77" t="s">
        <v>1</v>
      </c>
      <c r="D77" t="s">
        <v>19</v>
      </c>
      <c r="E77" t="s">
        <v>15</v>
      </c>
      <c r="F77" t="s">
        <v>23</v>
      </c>
      <c r="G77" t="s">
        <v>17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1352</v>
      </c>
      <c r="B78" s="1">
        <v>45764</v>
      </c>
      <c r="C78" t="s">
        <v>1</v>
      </c>
      <c r="D78" t="s">
        <v>16</v>
      </c>
      <c r="E78" t="s">
        <v>15</v>
      </c>
      <c r="F78" t="s">
        <v>27</v>
      </c>
      <c r="G78" t="s">
        <v>17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1351</v>
      </c>
      <c r="B79" s="1">
        <v>45673</v>
      </c>
      <c r="C79" t="s">
        <v>1</v>
      </c>
      <c r="D79" t="s">
        <v>16</v>
      </c>
      <c r="E79" t="s">
        <v>15</v>
      </c>
      <c r="F79" t="s">
        <v>18</v>
      </c>
      <c r="G79" t="s">
        <v>17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1350</v>
      </c>
      <c r="B80" s="1">
        <v>45708</v>
      </c>
      <c r="C80" t="s">
        <v>1</v>
      </c>
      <c r="D80" t="s">
        <v>21</v>
      </c>
      <c r="E80" t="s">
        <v>25</v>
      </c>
      <c r="F80" t="s">
        <v>18</v>
      </c>
      <c r="G80" t="s">
        <v>17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1349</v>
      </c>
      <c r="B81" s="1">
        <v>45798</v>
      </c>
      <c r="C81" t="s">
        <v>1</v>
      </c>
      <c r="D81" t="s">
        <v>20</v>
      </c>
      <c r="E81" t="s">
        <v>15</v>
      </c>
      <c r="F81" t="s">
        <v>22</v>
      </c>
      <c r="G81" t="s">
        <v>17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1348</v>
      </c>
      <c r="B82" s="1">
        <v>45785</v>
      </c>
      <c r="C82" t="s">
        <v>1</v>
      </c>
      <c r="D82" t="s">
        <v>19</v>
      </c>
      <c r="E82" t="s">
        <v>15</v>
      </c>
      <c r="F82" t="s">
        <v>18</v>
      </c>
      <c r="G82" t="s">
        <v>17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1347</v>
      </c>
      <c r="B83" s="1">
        <v>45724</v>
      </c>
      <c r="C83" t="s">
        <v>1</v>
      </c>
      <c r="D83" t="s">
        <v>19</v>
      </c>
      <c r="E83" t="s">
        <v>15</v>
      </c>
      <c r="F83" t="s">
        <v>27</v>
      </c>
      <c r="G83" t="s">
        <v>17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1346</v>
      </c>
      <c r="B84" s="1">
        <v>45748</v>
      </c>
      <c r="C84" t="s">
        <v>1</v>
      </c>
      <c r="D84" t="s">
        <v>19</v>
      </c>
      <c r="E84" t="s">
        <v>25</v>
      </c>
      <c r="F84" t="s">
        <v>23</v>
      </c>
      <c r="G84" t="s">
        <v>17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1345</v>
      </c>
      <c r="B85" s="1">
        <v>45719</v>
      </c>
      <c r="C85" t="s">
        <v>1</v>
      </c>
      <c r="D85" t="s">
        <v>21</v>
      </c>
      <c r="E85" t="s">
        <v>15</v>
      </c>
      <c r="F85" t="s">
        <v>22</v>
      </c>
      <c r="G85" t="s">
        <v>13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1344</v>
      </c>
      <c r="B86" s="1">
        <v>45763</v>
      </c>
      <c r="C86" t="s">
        <v>1</v>
      </c>
      <c r="D86" t="s">
        <v>19</v>
      </c>
      <c r="E86" t="s">
        <v>15</v>
      </c>
      <c r="F86" t="s">
        <v>14</v>
      </c>
      <c r="G86" t="s">
        <v>17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1343</v>
      </c>
      <c r="B87" s="1">
        <v>45666</v>
      </c>
      <c r="C87" t="s">
        <v>1</v>
      </c>
      <c r="D87" t="s">
        <v>16</v>
      </c>
      <c r="E87" t="s">
        <v>25</v>
      </c>
      <c r="F87" t="s">
        <v>18</v>
      </c>
      <c r="G87" t="s">
        <v>17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1342</v>
      </c>
      <c r="B88" s="1">
        <v>45679</v>
      </c>
      <c r="C88" t="s">
        <v>1</v>
      </c>
      <c r="D88" t="s">
        <v>21</v>
      </c>
      <c r="E88" t="s">
        <v>25</v>
      </c>
      <c r="F88" t="s">
        <v>22</v>
      </c>
      <c r="G88" t="s">
        <v>13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1341</v>
      </c>
      <c r="B89" s="1">
        <v>45777</v>
      </c>
      <c r="C89" t="s">
        <v>1</v>
      </c>
      <c r="D89" t="s">
        <v>19</v>
      </c>
      <c r="E89" t="s">
        <v>15</v>
      </c>
      <c r="F89" t="s">
        <v>23</v>
      </c>
      <c r="G89" t="s">
        <v>29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1340</v>
      </c>
      <c r="B90" s="1">
        <v>45772</v>
      </c>
      <c r="C90" t="s">
        <v>1</v>
      </c>
      <c r="D90" t="s">
        <v>16</v>
      </c>
      <c r="E90" t="s">
        <v>15</v>
      </c>
      <c r="F90" t="s">
        <v>27</v>
      </c>
      <c r="G90" t="s">
        <v>13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1339</v>
      </c>
      <c r="B91" s="1">
        <v>45689</v>
      </c>
      <c r="C91" t="s">
        <v>1</v>
      </c>
      <c r="D91" t="s">
        <v>16</v>
      </c>
      <c r="E91" t="s">
        <v>15</v>
      </c>
      <c r="F91" t="s">
        <v>18</v>
      </c>
      <c r="G91" t="s">
        <v>13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1338</v>
      </c>
      <c r="B92" s="1">
        <v>45770</v>
      </c>
      <c r="C92" t="s">
        <v>1</v>
      </c>
      <c r="D92" t="s">
        <v>19</v>
      </c>
      <c r="E92" t="s">
        <v>25</v>
      </c>
      <c r="F92" t="s">
        <v>18</v>
      </c>
      <c r="G92" t="s">
        <v>17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1337</v>
      </c>
      <c r="B93" s="1">
        <v>45715</v>
      </c>
      <c r="C93" t="s">
        <v>1</v>
      </c>
      <c r="D93" t="s">
        <v>19</v>
      </c>
      <c r="E93" t="s">
        <v>15</v>
      </c>
      <c r="F93" t="s">
        <v>22</v>
      </c>
      <c r="G93" t="s">
        <v>17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1336</v>
      </c>
      <c r="B94" s="1">
        <v>45756</v>
      </c>
      <c r="C94" t="s">
        <v>1</v>
      </c>
      <c r="D94" t="s">
        <v>20</v>
      </c>
      <c r="E94" t="s">
        <v>25</v>
      </c>
      <c r="F94" t="s">
        <v>18</v>
      </c>
      <c r="G94" t="s">
        <v>13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1335</v>
      </c>
      <c r="B95" s="1">
        <v>45790</v>
      </c>
      <c r="C95" t="s">
        <v>1</v>
      </c>
      <c r="D95" t="s">
        <v>19</v>
      </c>
      <c r="E95" t="s">
        <v>24</v>
      </c>
      <c r="F95" t="s">
        <v>18</v>
      </c>
      <c r="G95" t="s">
        <v>29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1334</v>
      </c>
      <c r="B96" s="1">
        <v>45760</v>
      </c>
      <c r="C96" t="s">
        <v>1</v>
      </c>
      <c r="D96" t="s">
        <v>20</v>
      </c>
      <c r="E96" t="s">
        <v>15</v>
      </c>
      <c r="F96" t="s">
        <v>18</v>
      </c>
      <c r="G96" t="s">
        <v>17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1333</v>
      </c>
      <c r="B97" s="1">
        <v>45693</v>
      </c>
      <c r="C97" t="s">
        <v>1</v>
      </c>
      <c r="D97" t="s">
        <v>20</v>
      </c>
      <c r="E97" t="s">
        <v>15</v>
      </c>
      <c r="F97" t="s">
        <v>22</v>
      </c>
      <c r="G97" t="s">
        <v>17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1332</v>
      </c>
      <c r="B98" s="1">
        <v>45702</v>
      </c>
      <c r="C98" t="s">
        <v>1</v>
      </c>
      <c r="D98" t="s">
        <v>21</v>
      </c>
      <c r="E98" t="s">
        <v>15</v>
      </c>
      <c r="F98" t="s">
        <v>18</v>
      </c>
      <c r="G98" t="s">
        <v>13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1331</v>
      </c>
      <c r="B99" s="1">
        <v>45699</v>
      </c>
      <c r="C99" t="s">
        <v>1</v>
      </c>
      <c r="D99" t="s">
        <v>16</v>
      </c>
      <c r="E99" t="s">
        <v>25</v>
      </c>
      <c r="F99" t="s">
        <v>18</v>
      </c>
      <c r="G99" t="s">
        <v>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1330</v>
      </c>
      <c r="B100" s="1">
        <v>45699</v>
      </c>
      <c r="C100" t="s">
        <v>1</v>
      </c>
      <c r="D100" t="s">
        <v>20</v>
      </c>
      <c r="E100" t="s">
        <v>25</v>
      </c>
      <c r="F100" t="s">
        <v>22</v>
      </c>
      <c r="G100" t="s">
        <v>17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1329</v>
      </c>
      <c r="B101" s="1">
        <v>45803</v>
      </c>
      <c r="C101" t="s">
        <v>1</v>
      </c>
      <c r="D101" t="s">
        <v>16</v>
      </c>
      <c r="E101" t="s">
        <v>15</v>
      </c>
      <c r="F101" t="s">
        <v>18</v>
      </c>
      <c r="G101" t="s">
        <v>17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1328</v>
      </c>
      <c r="B102" s="1">
        <v>45738</v>
      </c>
      <c r="C102" t="s">
        <v>1</v>
      </c>
      <c r="D102" t="s">
        <v>16</v>
      </c>
      <c r="E102" t="s">
        <v>15</v>
      </c>
      <c r="F102" t="s">
        <v>14</v>
      </c>
      <c r="G102" t="s">
        <v>13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1327</v>
      </c>
      <c r="B103" s="1">
        <v>45755</v>
      </c>
      <c r="C103" t="s">
        <v>1</v>
      </c>
      <c r="D103" t="s">
        <v>21</v>
      </c>
      <c r="E103" t="s">
        <v>15</v>
      </c>
      <c r="F103" t="s">
        <v>14</v>
      </c>
      <c r="G103" t="s">
        <v>17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1326</v>
      </c>
      <c r="B104" s="1">
        <v>45761</v>
      </c>
      <c r="C104" t="s">
        <v>1</v>
      </c>
      <c r="D104" t="s">
        <v>16</v>
      </c>
      <c r="E104" t="s">
        <v>25</v>
      </c>
      <c r="F104" t="s">
        <v>22</v>
      </c>
      <c r="G104" t="s">
        <v>17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1325</v>
      </c>
      <c r="B105" s="1">
        <v>45743</v>
      </c>
      <c r="C105" t="s">
        <v>1</v>
      </c>
      <c r="D105" t="s">
        <v>19</v>
      </c>
      <c r="E105" t="s">
        <v>15</v>
      </c>
      <c r="F105" t="s">
        <v>23</v>
      </c>
      <c r="G105" t="s">
        <v>17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1324</v>
      </c>
      <c r="B106" s="1">
        <v>45662</v>
      </c>
      <c r="C106" t="s">
        <v>1</v>
      </c>
      <c r="D106" t="s">
        <v>19</v>
      </c>
      <c r="E106" t="s">
        <v>15</v>
      </c>
      <c r="F106" t="s">
        <v>22</v>
      </c>
      <c r="G106" t="s">
        <v>17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1323</v>
      </c>
      <c r="B107" s="1">
        <v>45682</v>
      </c>
      <c r="C107" t="s">
        <v>1</v>
      </c>
      <c r="D107" t="s">
        <v>19</v>
      </c>
      <c r="E107" t="s">
        <v>15</v>
      </c>
      <c r="F107" t="s">
        <v>22</v>
      </c>
      <c r="G107" t="s">
        <v>13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1322</v>
      </c>
      <c r="B108" s="1">
        <v>45680</v>
      </c>
      <c r="C108" t="s">
        <v>1</v>
      </c>
      <c r="D108" t="s">
        <v>21</v>
      </c>
      <c r="E108" t="s">
        <v>15</v>
      </c>
      <c r="F108" t="s">
        <v>23</v>
      </c>
      <c r="G108" t="s">
        <v>17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1321</v>
      </c>
      <c r="B109" s="1">
        <v>45802</v>
      </c>
      <c r="C109" t="s">
        <v>1</v>
      </c>
      <c r="D109" t="s">
        <v>20</v>
      </c>
      <c r="E109" t="s">
        <v>25</v>
      </c>
      <c r="F109" t="s">
        <v>27</v>
      </c>
      <c r="G109" t="s">
        <v>17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1320</v>
      </c>
      <c r="B110" s="1">
        <v>45738</v>
      </c>
      <c r="C110" t="s">
        <v>1</v>
      </c>
      <c r="D110" t="s">
        <v>19</v>
      </c>
      <c r="E110" t="s">
        <v>15</v>
      </c>
      <c r="F110" t="s">
        <v>27</v>
      </c>
      <c r="G110" t="s">
        <v>13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1319</v>
      </c>
      <c r="B111" s="1">
        <v>45700</v>
      </c>
      <c r="C111" t="s">
        <v>1</v>
      </c>
      <c r="D111" t="s">
        <v>21</v>
      </c>
      <c r="E111" t="s">
        <v>25</v>
      </c>
      <c r="F111" t="s">
        <v>14</v>
      </c>
      <c r="G111" t="s">
        <v>13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1318</v>
      </c>
      <c r="B112" s="1">
        <v>45775</v>
      </c>
      <c r="C112" t="s">
        <v>1</v>
      </c>
      <c r="D112" t="s">
        <v>21</v>
      </c>
      <c r="E112" t="s">
        <v>25</v>
      </c>
      <c r="F112" t="s">
        <v>18</v>
      </c>
      <c r="G112" t="s">
        <v>13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1317</v>
      </c>
      <c r="B113" s="1">
        <v>45687</v>
      </c>
      <c r="C113" t="s">
        <v>1</v>
      </c>
      <c r="D113" t="s">
        <v>16</v>
      </c>
      <c r="E113" t="s">
        <v>15</v>
      </c>
      <c r="F113" t="s">
        <v>18</v>
      </c>
      <c r="G113" t="s">
        <v>13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1316</v>
      </c>
      <c r="B114" s="1">
        <v>45796</v>
      </c>
      <c r="C114" t="s">
        <v>1</v>
      </c>
      <c r="D114" t="s">
        <v>20</v>
      </c>
      <c r="E114" t="s">
        <v>24</v>
      </c>
      <c r="F114" t="s">
        <v>14</v>
      </c>
      <c r="G114" t="s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1315</v>
      </c>
      <c r="B115" s="1">
        <v>45680</v>
      </c>
      <c r="C115" t="s">
        <v>1</v>
      </c>
      <c r="D115" t="s">
        <v>19</v>
      </c>
      <c r="E115" t="s">
        <v>15</v>
      </c>
      <c r="F115" t="s">
        <v>22</v>
      </c>
      <c r="G115" t="s">
        <v>17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1314</v>
      </c>
      <c r="B116" s="1">
        <v>45744</v>
      </c>
      <c r="C116" t="s">
        <v>1</v>
      </c>
      <c r="D116" t="s">
        <v>20</v>
      </c>
      <c r="E116" t="s">
        <v>25</v>
      </c>
      <c r="F116" t="s">
        <v>22</v>
      </c>
      <c r="G116" t="s">
        <v>17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1313</v>
      </c>
      <c r="B117" s="1">
        <v>45668</v>
      </c>
      <c r="C117" t="s">
        <v>1</v>
      </c>
      <c r="D117" t="s">
        <v>21</v>
      </c>
      <c r="E117" t="s">
        <v>15</v>
      </c>
      <c r="F117" t="s">
        <v>18</v>
      </c>
      <c r="G117" t="s">
        <v>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1312</v>
      </c>
      <c r="B118" s="1">
        <v>45758</v>
      </c>
      <c r="C118" t="s">
        <v>1</v>
      </c>
      <c r="D118" t="s">
        <v>16</v>
      </c>
      <c r="E118" t="s">
        <v>15</v>
      </c>
      <c r="F118" t="s">
        <v>27</v>
      </c>
      <c r="G118" t="s">
        <v>17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1311</v>
      </c>
      <c r="B119" s="1">
        <v>45659</v>
      </c>
      <c r="C119" t="s">
        <v>1</v>
      </c>
      <c r="D119" t="s">
        <v>21</v>
      </c>
      <c r="E119" t="s">
        <v>15</v>
      </c>
      <c r="F119" t="s">
        <v>14</v>
      </c>
      <c r="G119" t="s">
        <v>17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1310</v>
      </c>
      <c r="B120" s="1">
        <v>45734</v>
      </c>
      <c r="C120" t="s">
        <v>1</v>
      </c>
      <c r="D120" t="s">
        <v>20</v>
      </c>
      <c r="E120" t="s">
        <v>15</v>
      </c>
      <c r="F120" t="s">
        <v>22</v>
      </c>
      <c r="G120" t="s">
        <v>17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1309</v>
      </c>
      <c r="B121" s="1">
        <v>45747</v>
      </c>
      <c r="C121" t="s">
        <v>1</v>
      </c>
      <c r="D121" t="s">
        <v>16</v>
      </c>
      <c r="E121" t="s">
        <v>15</v>
      </c>
      <c r="F121" t="s">
        <v>23</v>
      </c>
      <c r="G121" t="s">
        <v>17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1308</v>
      </c>
      <c r="B122" s="1">
        <v>45663</v>
      </c>
      <c r="C122" t="s">
        <v>1</v>
      </c>
      <c r="D122" t="s">
        <v>16</v>
      </c>
      <c r="E122" t="s">
        <v>15</v>
      </c>
      <c r="F122" t="s">
        <v>14</v>
      </c>
      <c r="G122" t="s">
        <v>13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1307</v>
      </c>
      <c r="B123" s="1">
        <v>45683</v>
      </c>
      <c r="C123" t="s">
        <v>1</v>
      </c>
      <c r="D123" t="s">
        <v>16</v>
      </c>
      <c r="E123" t="s">
        <v>15</v>
      </c>
      <c r="F123" t="s">
        <v>27</v>
      </c>
      <c r="G123" t="s">
        <v>17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1306</v>
      </c>
      <c r="B124" s="1">
        <v>45769</v>
      </c>
      <c r="C124" t="s">
        <v>1</v>
      </c>
      <c r="D124" t="s">
        <v>19</v>
      </c>
      <c r="E124" t="s">
        <v>15</v>
      </c>
      <c r="F124" t="s">
        <v>27</v>
      </c>
      <c r="G124" t="s">
        <v>13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1305</v>
      </c>
      <c r="B125" s="1">
        <v>45807</v>
      </c>
      <c r="C125" t="s">
        <v>1</v>
      </c>
      <c r="D125" t="s">
        <v>21</v>
      </c>
      <c r="E125" t="s">
        <v>32</v>
      </c>
      <c r="F125" t="s">
        <v>23</v>
      </c>
      <c r="G125" t="s">
        <v>13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1304</v>
      </c>
      <c r="B126" s="1">
        <v>45795</v>
      </c>
      <c r="C126" t="s">
        <v>1</v>
      </c>
      <c r="D126" t="s">
        <v>21</v>
      </c>
      <c r="E126" t="s">
        <v>25</v>
      </c>
      <c r="F126" t="s">
        <v>18</v>
      </c>
      <c r="G126" t="s">
        <v>29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1303</v>
      </c>
      <c r="B127" s="1">
        <v>45670</v>
      </c>
      <c r="C127" t="s">
        <v>1</v>
      </c>
      <c r="D127" t="s">
        <v>19</v>
      </c>
      <c r="E127" t="s">
        <v>25</v>
      </c>
      <c r="F127" t="s">
        <v>14</v>
      </c>
      <c r="G127" t="s">
        <v>29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1302</v>
      </c>
      <c r="B128" s="1">
        <v>45741</v>
      </c>
      <c r="C128" t="s">
        <v>1</v>
      </c>
      <c r="D128" t="s">
        <v>16</v>
      </c>
      <c r="E128" t="s">
        <v>25</v>
      </c>
      <c r="F128" t="s">
        <v>23</v>
      </c>
      <c r="G128" t="s">
        <v>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1301</v>
      </c>
      <c r="B129" s="1">
        <v>45776</v>
      </c>
      <c r="C129" t="s">
        <v>1</v>
      </c>
      <c r="D129" t="s">
        <v>19</v>
      </c>
      <c r="E129" t="s">
        <v>25</v>
      </c>
      <c r="F129" t="s">
        <v>18</v>
      </c>
      <c r="G129" t="s">
        <v>17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1300</v>
      </c>
      <c r="B130" s="1">
        <v>45794</v>
      </c>
      <c r="C130" t="s">
        <v>1</v>
      </c>
      <c r="D130" t="s">
        <v>20</v>
      </c>
      <c r="E130" t="s">
        <v>15</v>
      </c>
      <c r="F130" t="s">
        <v>27</v>
      </c>
      <c r="G130" t="s">
        <v>13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1299</v>
      </c>
      <c r="B131" s="1">
        <v>45659</v>
      </c>
      <c r="C131" t="s">
        <v>1</v>
      </c>
      <c r="D131" t="s">
        <v>16</v>
      </c>
      <c r="E131" t="s">
        <v>15</v>
      </c>
      <c r="F131" t="s">
        <v>14</v>
      </c>
      <c r="G131" t="s">
        <v>17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1298</v>
      </c>
      <c r="B132" s="1">
        <v>45691</v>
      </c>
      <c r="C132" t="s">
        <v>1</v>
      </c>
      <c r="D132" t="s">
        <v>19</v>
      </c>
      <c r="E132" t="s">
        <v>15</v>
      </c>
      <c r="F132" t="s">
        <v>18</v>
      </c>
      <c r="G132" t="s">
        <v>17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1297</v>
      </c>
      <c r="B133" s="1">
        <v>45720</v>
      </c>
      <c r="C133" t="s">
        <v>1</v>
      </c>
      <c r="D133" t="s">
        <v>20</v>
      </c>
      <c r="E133" t="s">
        <v>15</v>
      </c>
      <c r="F133" t="s">
        <v>18</v>
      </c>
      <c r="G133" t="s">
        <v>17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1296</v>
      </c>
      <c r="B134" s="1">
        <v>45683</v>
      </c>
      <c r="C134" t="s">
        <v>1</v>
      </c>
      <c r="D134" t="s">
        <v>19</v>
      </c>
      <c r="E134" t="s">
        <v>15</v>
      </c>
      <c r="F134" t="s">
        <v>14</v>
      </c>
      <c r="G134" t="s">
        <v>13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1295</v>
      </c>
      <c r="B135" s="1">
        <v>45789</v>
      </c>
      <c r="C135" t="s">
        <v>1</v>
      </c>
      <c r="D135" t="s">
        <v>21</v>
      </c>
      <c r="E135" t="s">
        <v>15</v>
      </c>
      <c r="F135" t="s">
        <v>14</v>
      </c>
      <c r="G135" t="s">
        <v>13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1294</v>
      </c>
      <c r="B136" s="1">
        <v>45722</v>
      </c>
      <c r="C136" t="s">
        <v>1</v>
      </c>
      <c r="D136" t="s">
        <v>16</v>
      </c>
      <c r="E136" t="s">
        <v>15</v>
      </c>
      <c r="F136" t="s">
        <v>18</v>
      </c>
      <c r="G136" t="s">
        <v>13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1293</v>
      </c>
      <c r="B137" s="1">
        <v>45726</v>
      </c>
      <c r="C137" t="s">
        <v>1</v>
      </c>
      <c r="D137" t="s">
        <v>19</v>
      </c>
      <c r="E137" t="s">
        <v>25</v>
      </c>
      <c r="F137" t="s">
        <v>23</v>
      </c>
      <c r="G137" t="s">
        <v>29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1292</v>
      </c>
      <c r="B138" s="1">
        <v>45783</v>
      </c>
      <c r="C138" t="s">
        <v>1</v>
      </c>
      <c r="D138" t="s">
        <v>16</v>
      </c>
      <c r="E138" t="s">
        <v>15</v>
      </c>
      <c r="F138" t="s">
        <v>14</v>
      </c>
      <c r="G138" t="s">
        <v>17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1291</v>
      </c>
      <c r="B139" s="1">
        <v>45711</v>
      </c>
      <c r="C139" t="s">
        <v>1</v>
      </c>
      <c r="D139" t="s">
        <v>19</v>
      </c>
      <c r="E139" t="s">
        <v>25</v>
      </c>
      <c r="F139" t="s">
        <v>14</v>
      </c>
      <c r="G139" t="s">
        <v>17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1290</v>
      </c>
      <c r="B140" s="1">
        <v>45686</v>
      </c>
      <c r="C140" t="s">
        <v>1</v>
      </c>
      <c r="D140" t="s">
        <v>21</v>
      </c>
      <c r="E140" t="s">
        <v>15</v>
      </c>
      <c r="F140" t="s">
        <v>22</v>
      </c>
      <c r="G140" t="s">
        <v>13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1289</v>
      </c>
      <c r="B141" s="1">
        <v>45688</v>
      </c>
      <c r="C141" t="s">
        <v>1</v>
      </c>
      <c r="D141" t="s">
        <v>16</v>
      </c>
      <c r="E141" t="s">
        <v>15</v>
      </c>
      <c r="F141" t="s">
        <v>18</v>
      </c>
      <c r="G141" t="s">
        <v>13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1288</v>
      </c>
      <c r="B142" s="1">
        <v>45676</v>
      </c>
      <c r="C142" t="s">
        <v>1</v>
      </c>
      <c r="D142" t="s">
        <v>19</v>
      </c>
      <c r="E142" t="s">
        <v>15</v>
      </c>
      <c r="F142" t="s">
        <v>18</v>
      </c>
      <c r="G142" t="s">
        <v>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1287</v>
      </c>
      <c r="B143" s="1">
        <v>45750</v>
      </c>
      <c r="C143" t="s">
        <v>1</v>
      </c>
      <c r="D143" t="s">
        <v>21</v>
      </c>
      <c r="E143" t="s">
        <v>25</v>
      </c>
      <c r="F143" t="s">
        <v>22</v>
      </c>
      <c r="G143" t="s">
        <v>17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1286</v>
      </c>
      <c r="B144" s="1">
        <v>45754</v>
      </c>
      <c r="C144" t="s">
        <v>1</v>
      </c>
      <c r="D144" t="s">
        <v>16</v>
      </c>
      <c r="E144" t="s">
        <v>15</v>
      </c>
      <c r="F144" t="s">
        <v>14</v>
      </c>
      <c r="G144" t="s">
        <v>17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1285</v>
      </c>
      <c r="B145" s="1">
        <v>45663</v>
      </c>
      <c r="C145" t="s">
        <v>1</v>
      </c>
      <c r="D145" t="s">
        <v>20</v>
      </c>
      <c r="E145" t="s">
        <v>15</v>
      </c>
      <c r="F145" t="s">
        <v>14</v>
      </c>
      <c r="G145" t="s">
        <v>13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1284</v>
      </c>
      <c r="B146" s="1">
        <v>45758</v>
      </c>
      <c r="C146" t="s">
        <v>1</v>
      </c>
      <c r="D146" t="s">
        <v>20</v>
      </c>
      <c r="E146" t="s">
        <v>15</v>
      </c>
      <c r="F146" t="s">
        <v>18</v>
      </c>
      <c r="G146" t="s">
        <v>17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1283</v>
      </c>
      <c r="B147" s="1">
        <v>45770</v>
      </c>
      <c r="C147" t="s">
        <v>1</v>
      </c>
      <c r="D147" t="s">
        <v>20</v>
      </c>
      <c r="E147" t="s">
        <v>15</v>
      </c>
      <c r="F147" t="s">
        <v>14</v>
      </c>
      <c r="G147" t="s">
        <v>17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1282</v>
      </c>
      <c r="B148" s="1">
        <v>45741</v>
      </c>
      <c r="C148" t="s">
        <v>1</v>
      </c>
      <c r="D148" t="s">
        <v>21</v>
      </c>
      <c r="E148" t="s">
        <v>15</v>
      </c>
      <c r="F148" t="s">
        <v>18</v>
      </c>
      <c r="G148" t="s">
        <v>13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1281</v>
      </c>
      <c r="B149" s="1">
        <v>45802</v>
      </c>
      <c r="C149" t="s">
        <v>1</v>
      </c>
      <c r="D149" t="s">
        <v>19</v>
      </c>
      <c r="E149" t="s">
        <v>25</v>
      </c>
      <c r="F149" t="s">
        <v>18</v>
      </c>
      <c r="G149" t="s">
        <v>13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1280</v>
      </c>
      <c r="B150" s="1">
        <v>45685</v>
      </c>
      <c r="C150" t="s">
        <v>1</v>
      </c>
      <c r="D150" t="s">
        <v>16</v>
      </c>
      <c r="E150" t="s">
        <v>15</v>
      </c>
      <c r="F150" t="s">
        <v>18</v>
      </c>
      <c r="G150" t="s">
        <v>17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1279</v>
      </c>
      <c r="B151" s="1">
        <v>45700</v>
      </c>
      <c r="C151" t="s">
        <v>1</v>
      </c>
      <c r="D151" t="s">
        <v>21</v>
      </c>
      <c r="E151" t="s">
        <v>15</v>
      </c>
      <c r="F151" t="s">
        <v>14</v>
      </c>
      <c r="G151" t="s">
        <v>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1278</v>
      </c>
      <c r="B152" s="1">
        <v>45776</v>
      </c>
      <c r="C152" t="s">
        <v>1</v>
      </c>
      <c r="D152" t="s">
        <v>16</v>
      </c>
      <c r="E152" t="s">
        <v>15</v>
      </c>
      <c r="F152" t="s">
        <v>22</v>
      </c>
      <c r="G152" t="s">
        <v>29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1277</v>
      </c>
      <c r="B153" s="1">
        <v>45729</v>
      </c>
      <c r="C153" t="s">
        <v>1</v>
      </c>
      <c r="D153" t="s">
        <v>19</v>
      </c>
      <c r="E153" t="s">
        <v>15</v>
      </c>
      <c r="F153" t="s">
        <v>23</v>
      </c>
      <c r="G153" t="s">
        <v>17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1276</v>
      </c>
      <c r="B154" s="1">
        <v>45692</v>
      </c>
      <c r="C154" t="s">
        <v>1</v>
      </c>
      <c r="D154" t="s">
        <v>20</v>
      </c>
      <c r="E154" t="s">
        <v>25</v>
      </c>
      <c r="F154" t="s">
        <v>14</v>
      </c>
      <c r="G154" t="s">
        <v>17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1275</v>
      </c>
      <c r="B155" s="1">
        <v>45720</v>
      </c>
      <c r="C155" t="s">
        <v>1</v>
      </c>
      <c r="D155" t="s">
        <v>19</v>
      </c>
      <c r="E155" t="s">
        <v>15</v>
      </c>
      <c r="F155" t="s">
        <v>27</v>
      </c>
      <c r="G155" t="s">
        <v>17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58.235294117647001</v>
      </c>
    </row>
    <row r="156" spans="1:16">
      <c r="A156" t="s">
        <v>1274</v>
      </c>
      <c r="B156" s="1">
        <v>45692</v>
      </c>
      <c r="C156" t="s">
        <v>1</v>
      </c>
      <c r="D156" t="s">
        <v>21</v>
      </c>
      <c r="E156" t="s">
        <v>15</v>
      </c>
      <c r="F156" t="s">
        <v>14</v>
      </c>
      <c r="G156" t="s">
        <v>13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1273</v>
      </c>
      <c r="B157" s="1">
        <v>45727</v>
      </c>
      <c r="C157" t="s">
        <v>1</v>
      </c>
      <c r="D157" t="s">
        <v>16</v>
      </c>
      <c r="E157" t="s">
        <v>25</v>
      </c>
      <c r="F157" t="s">
        <v>18</v>
      </c>
      <c r="G157" t="s">
        <v>17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1272</v>
      </c>
      <c r="B158" s="1">
        <v>45769</v>
      </c>
      <c r="C158" t="s">
        <v>1</v>
      </c>
      <c r="D158" t="s">
        <v>21</v>
      </c>
      <c r="E158" t="s">
        <v>15</v>
      </c>
      <c r="F158" t="s">
        <v>18</v>
      </c>
      <c r="G158" t="s">
        <v>17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1271</v>
      </c>
      <c r="B159" s="1">
        <v>45724</v>
      </c>
      <c r="C159" t="s">
        <v>1</v>
      </c>
      <c r="D159" t="s">
        <v>16</v>
      </c>
      <c r="E159" t="s">
        <v>25</v>
      </c>
      <c r="F159" t="s">
        <v>14</v>
      </c>
      <c r="G159" t="s">
        <v>17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1270</v>
      </c>
      <c r="B160" s="1">
        <v>45726</v>
      </c>
      <c r="C160" t="s">
        <v>1</v>
      </c>
      <c r="D160" t="s">
        <v>20</v>
      </c>
      <c r="E160" t="s">
        <v>15</v>
      </c>
      <c r="F160" t="s">
        <v>18</v>
      </c>
      <c r="G160" t="s">
        <v>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1269</v>
      </c>
      <c r="B161" s="1">
        <v>45795</v>
      </c>
      <c r="C161" t="s">
        <v>1</v>
      </c>
      <c r="D161" t="s">
        <v>16</v>
      </c>
      <c r="E161" t="s">
        <v>25</v>
      </c>
      <c r="F161" t="s">
        <v>14</v>
      </c>
      <c r="G161" t="s">
        <v>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1268</v>
      </c>
      <c r="B162" s="1">
        <v>45791</v>
      </c>
      <c r="C162" t="s">
        <v>1</v>
      </c>
      <c r="D162" t="s">
        <v>16</v>
      </c>
      <c r="E162" t="s">
        <v>15</v>
      </c>
      <c r="F162" t="s">
        <v>22</v>
      </c>
      <c r="G162" t="s">
        <v>13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1267</v>
      </c>
      <c r="B163" s="1">
        <v>45689</v>
      </c>
      <c r="C163" t="s">
        <v>1</v>
      </c>
      <c r="D163" t="s">
        <v>16</v>
      </c>
      <c r="E163" t="s">
        <v>15</v>
      </c>
      <c r="F163" t="s">
        <v>18</v>
      </c>
      <c r="G163" t="s">
        <v>17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58.235294117647001</v>
      </c>
    </row>
    <row r="164" spans="1:16">
      <c r="A164" t="s">
        <v>1266</v>
      </c>
      <c r="B164" s="1">
        <v>45758</v>
      </c>
      <c r="C164" t="s">
        <v>1</v>
      </c>
      <c r="D164" t="s">
        <v>19</v>
      </c>
      <c r="E164" t="s">
        <v>15</v>
      </c>
      <c r="F164" t="s">
        <v>18</v>
      </c>
      <c r="G164" t="s">
        <v>13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1265</v>
      </c>
      <c r="B165" s="1">
        <v>45702</v>
      </c>
      <c r="C165" t="s">
        <v>1</v>
      </c>
      <c r="D165" t="s">
        <v>20</v>
      </c>
      <c r="E165" t="s">
        <v>15</v>
      </c>
      <c r="F165" t="s">
        <v>18</v>
      </c>
      <c r="G165" t="s">
        <v>17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1264</v>
      </c>
      <c r="B166" s="1">
        <v>45796</v>
      </c>
      <c r="C166" t="s">
        <v>1</v>
      </c>
      <c r="D166" t="s">
        <v>20</v>
      </c>
      <c r="E166" t="s">
        <v>15</v>
      </c>
      <c r="F166" t="s">
        <v>22</v>
      </c>
      <c r="G166" t="s">
        <v>17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1263</v>
      </c>
      <c r="B167" s="1">
        <v>45773</v>
      </c>
      <c r="C167" t="s">
        <v>1</v>
      </c>
      <c r="D167" t="s">
        <v>16</v>
      </c>
      <c r="E167" t="s">
        <v>25</v>
      </c>
      <c r="F167" t="s">
        <v>14</v>
      </c>
      <c r="G167" t="s">
        <v>13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1262</v>
      </c>
      <c r="B168" s="1">
        <v>45753</v>
      </c>
      <c r="C168" t="s">
        <v>1</v>
      </c>
      <c r="D168" t="s">
        <v>19</v>
      </c>
      <c r="E168" t="s">
        <v>15</v>
      </c>
      <c r="F168" t="s">
        <v>22</v>
      </c>
      <c r="G168" t="s">
        <v>17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1261</v>
      </c>
      <c r="B169" s="1">
        <v>45722</v>
      </c>
      <c r="C169" t="s">
        <v>1</v>
      </c>
      <c r="D169" t="s">
        <v>19</v>
      </c>
      <c r="E169" t="s">
        <v>15</v>
      </c>
      <c r="F169" t="s">
        <v>14</v>
      </c>
      <c r="G169" t="s">
        <v>17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58.235294117647001</v>
      </c>
    </row>
    <row r="170" spans="1:16">
      <c r="A170" t="s">
        <v>1260</v>
      </c>
      <c r="B170" s="1">
        <v>45726</v>
      </c>
      <c r="C170" t="s">
        <v>1</v>
      </c>
      <c r="D170" t="s">
        <v>21</v>
      </c>
      <c r="E170" t="s">
        <v>15</v>
      </c>
      <c r="F170" t="s">
        <v>22</v>
      </c>
      <c r="G170" t="s">
        <v>13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1259</v>
      </c>
      <c r="B171" s="1">
        <v>45746</v>
      </c>
      <c r="C171" t="s">
        <v>1</v>
      </c>
      <c r="D171" t="s">
        <v>16</v>
      </c>
      <c r="E171" t="s">
        <v>15</v>
      </c>
      <c r="F171" t="s">
        <v>18</v>
      </c>
      <c r="G171" t="s">
        <v>17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1258</v>
      </c>
      <c r="B172" s="1">
        <v>45806</v>
      </c>
      <c r="C172" t="s">
        <v>1</v>
      </c>
      <c r="D172" t="s">
        <v>20</v>
      </c>
      <c r="E172" t="s">
        <v>32</v>
      </c>
      <c r="F172" t="s">
        <v>14</v>
      </c>
      <c r="G172" t="s">
        <v>17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1257</v>
      </c>
      <c r="B173" s="1">
        <v>45739</v>
      </c>
      <c r="C173" t="s">
        <v>1</v>
      </c>
      <c r="D173" t="s">
        <v>16</v>
      </c>
      <c r="E173" t="s">
        <v>15</v>
      </c>
      <c r="F173" t="s">
        <v>18</v>
      </c>
      <c r="G173" t="s">
        <v>17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1256</v>
      </c>
      <c r="B174" s="1">
        <v>45706</v>
      </c>
      <c r="C174" t="s">
        <v>1</v>
      </c>
      <c r="D174" t="s">
        <v>16</v>
      </c>
      <c r="E174" t="s">
        <v>24</v>
      </c>
      <c r="F174" t="s">
        <v>18</v>
      </c>
      <c r="G174" t="s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1255</v>
      </c>
      <c r="B175" s="1">
        <v>45683</v>
      </c>
      <c r="C175" t="s">
        <v>1</v>
      </c>
      <c r="D175" t="s">
        <v>16</v>
      </c>
      <c r="E175" t="s">
        <v>25</v>
      </c>
      <c r="F175" t="s">
        <v>23</v>
      </c>
      <c r="G175" t="s">
        <v>17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1254</v>
      </c>
      <c r="B176" s="1">
        <v>45770</v>
      </c>
      <c r="C176" t="s">
        <v>1</v>
      </c>
      <c r="D176" t="s">
        <v>20</v>
      </c>
      <c r="E176" t="s">
        <v>15</v>
      </c>
      <c r="F176" t="s">
        <v>22</v>
      </c>
      <c r="G176" t="s">
        <v>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1253</v>
      </c>
      <c r="B177" s="1">
        <v>45732</v>
      </c>
      <c r="C177" t="s">
        <v>1</v>
      </c>
      <c r="D177" t="s">
        <v>19</v>
      </c>
      <c r="E177" t="s">
        <v>24</v>
      </c>
      <c r="F177" t="s">
        <v>27</v>
      </c>
      <c r="G177" t="s">
        <v>13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1252</v>
      </c>
      <c r="B178" s="1">
        <v>45776</v>
      </c>
      <c r="C178" t="s">
        <v>1</v>
      </c>
      <c r="D178" t="s">
        <v>21</v>
      </c>
      <c r="E178" t="s">
        <v>15</v>
      </c>
      <c r="F178" t="s">
        <v>18</v>
      </c>
      <c r="G178" t="s">
        <v>13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1251</v>
      </c>
      <c r="B179" s="1">
        <v>45753</v>
      </c>
      <c r="C179" t="s">
        <v>1</v>
      </c>
      <c r="D179" t="s">
        <v>16</v>
      </c>
      <c r="E179" t="s">
        <v>15</v>
      </c>
      <c r="F179" t="s">
        <v>18</v>
      </c>
      <c r="G179" t="s">
        <v>17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1250</v>
      </c>
      <c r="B180" s="1">
        <v>45764</v>
      </c>
      <c r="C180" t="s">
        <v>1</v>
      </c>
      <c r="D180" t="s">
        <v>16</v>
      </c>
      <c r="E180" t="s">
        <v>25</v>
      </c>
      <c r="F180" t="s">
        <v>27</v>
      </c>
      <c r="G180" t="s">
        <v>29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1249</v>
      </c>
      <c r="B181" s="1">
        <v>45750</v>
      </c>
      <c r="C181" t="s">
        <v>1</v>
      </c>
      <c r="D181" t="s">
        <v>19</v>
      </c>
      <c r="E181" t="s">
        <v>15</v>
      </c>
      <c r="F181" t="s">
        <v>14</v>
      </c>
      <c r="G181" t="s">
        <v>17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1248</v>
      </c>
      <c r="B182" s="1">
        <v>45772</v>
      </c>
      <c r="C182" t="s">
        <v>1</v>
      </c>
      <c r="D182" t="s">
        <v>21</v>
      </c>
      <c r="E182" t="s">
        <v>15</v>
      </c>
      <c r="F182" t="s">
        <v>14</v>
      </c>
      <c r="G182" t="s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1247</v>
      </c>
      <c r="B183" s="1">
        <v>45777</v>
      </c>
      <c r="C183" t="s">
        <v>1</v>
      </c>
      <c r="D183" t="s">
        <v>19</v>
      </c>
      <c r="E183" t="s">
        <v>15</v>
      </c>
      <c r="F183" t="s">
        <v>18</v>
      </c>
      <c r="G183" t="s">
        <v>29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1246</v>
      </c>
      <c r="B184" s="1">
        <v>45728</v>
      </c>
      <c r="C184" t="s">
        <v>1</v>
      </c>
      <c r="D184" t="s">
        <v>19</v>
      </c>
      <c r="E184" t="s">
        <v>15</v>
      </c>
      <c r="F184" t="s">
        <v>14</v>
      </c>
      <c r="G184" t="s">
        <v>17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1245</v>
      </c>
      <c r="B185" s="1">
        <v>45781</v>
      </c>
      <c r="C185" t="s">
        <v>1</v>
      </c>
      <c r="D185" t="s">
        <v>19</v>
      </c>
      <c r="E185" t="s">
        <v>15</v>
      </c>
      <c r="F185" t="s">
        <v>18</v>
      </c>
      <c r="G185" t="s">
        <v>17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1244</v>
      </c>
      <c r="B186" s="1">
        <v>45695</v>
      </c>
      <c r="C186" t="s">
        <v>1</v>
      </c>
      <c r="D186" t="s">
        <v>19</v>
      </c>
      <c r="E186" t="s">
        <v>24</v>
      </c>
      <c r="F186" t="s">
        <v>14</v>
      </c>
      <c r="G186" t="s">
        <v>29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1243</v>
      </c>
      <c r="B187" s="1">
        <v>45775</v>
      </c>
      <c r="C187" t="s">
        <v>1</v>
      </c>
      <c r="D187" t="s">
        <v>20</v>
      </c>
      <c r="E187" t="s">
        <v>24</v>
      </c>
      <c r="F187" t="s">
        <v>23</v>
      </c>
      <c r="G187" t="s">
        <v>13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1242</v>
      </c>
      <c r="B188" s="1">
        <v>45792</v>
      </c>
      <c r="C188" t="s">
        <v>1</v>
      </c>
      <c r="D188" t="s">
        <v>20</v>
      </c>
      <c r="E188" t="s">
        <v>25</v>
      </c>
      <c r="F188" t="s">
        <v>27</v>
      </c>
      <c r="G188" t="s">
        <v>17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1241</v>
      </c>
      <c r="B189" s="1">
        <v>45675</v>
      </c>
      <c r="C189" t="s">
        <v>1</v>
      </c>
      <c r="D189" t="s">
        <v>21</v>
      </c>
      <c r="E189" t="s">
        <v>15</v>
      </c>
      <c r="F189" t="s">
        <v>14</v>
      </c>
      <c r="G189" t="s">
        <v>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1240</v>
      </c>
      <c r="B190" s="1">
        <v>45703</v>
      </c>
      <c r="C190" t="s">
        <v>1</v>
      </c>
      <c r="D190" t="s">
        <v>19</v>
      </c>
      <c r="E190" t="s">
        <v>15</v>
      </c>
      <c r="F190" t="s">
        <v>22</v>
      </c>
      <c r="G190" t="s">
        <v>13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1239</v>
      </c>
      <c r="B191" s="1">
        <v>45706</v>
      </c>
      <c r="C191" t="s">
        <v>1</v>
      </c>
      <c r="D191" t="s">
        <v>16</v>
      </c>
      <c r="E191" t="s">
        <v>24</v>
      </c>
      <c r="F191" t="s">
        <v>23</v>
      </c>
      <c r="G191" t="s">
        <v>17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1238</v>
      </c>
      <c r="B192" s="1">
        <v>45687</v>
      </c>
      <c r="C192" t="s">
        <v>1</v>
      </c>
      <c r="D192" t="s">
        <v>19</v>
      </c>
      <c r="E192" t="s">
        <v>25</v>
      </c>
      <c r="F192" t="s">
        <v>23</v>
      </c>
      <c r="G192" t="s">
        <v>13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1237</v>
      </c>
      <c r="B193" s="1">
        <v>45697</v>
      </c>
      <c r="C193" t="s">
        <v>1</v>
      </c>
      <c r="D193" t="s">
        <v>19</v>
      </c>
      <c r="E193" t="s">
        <v>25</v>
      </c>
      <c r="F193" t="s">
        <v>18</v>
      </c>
      <c r="G193" t="s">
        <v>13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1236</v>
      </c>
      <c r="B194" s="1">
        <v>45732</v>
      </c>
      <c r="C194" t="s">
        <v>1</v>
      </c>
      <c r="D194" t="s">
        <v>21</v>
      </c>
      <c r="E194" t="s">
        <v>15</v>
      </c>
      <c r="F194" t="s">
        <v>14</v>
      </c>
      <c r="G194" t="s">
        <v>13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1235</v>
      </c>
      <c r="B195" s="1">
        <v>45796</v>
      </c>
      <c r="C195" t="s">
        <v>1</v>
      </c>
      <c r="D195" t="s">
        <v>16</v>
      </c>
      <c r="E195" t="s">
        <v>15</v>
      </c>
      <c r="F195" t="s">
        <v>14</v>
      </c>
      <c r="G195" t="s">
        <v>17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1234</v>
      </c>
      <c r="B196" s="1">
        <v>45793</v>
      </c>
      <c r="C196" t="s">
        <v>1</v>
      </c>
      <c r="D196" t="s">
        <v>19</v>
      </c>
      <c r="E196" t="s">
        <v>25</v>
      </c>
      <c r="F196" t="s">
        <v>18</v>
      </c>
      <c r="G196" t="s">
        <v>13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1233</v>
      </c>
      <c r="B197" s="1">
        <v>45772</v>
      </c>
      <c r="C197" t="s">
        <v>1</v>
      </c>
      <c r="D197" t="s">
        <v>21</v>
      </c>
      <c r="E197" t="s">
        <v>25</v>
      </c>
      <c r="F197" t="s">
        <v>27</v>
      </c>
      <c r="G197" t="s">
        <v>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1232</v>
      </c>
      <c r="B198" s="1">
        <v>45715</v>
      </c>
      <c r="C198" t="s">
        <v>1</v>
      </c>
      <c r="D198" t="s">
        <v>16</v>
      </c>
      <c r="E198" t="s">
        <v>15</v>
      </c>
      <c r="F198" t="s">
        <v>22</v>
      </c>
      <c r="G198" t="s">
        <v>13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1231</v>
      </c>
      <c r="B199" s="1">
        <v>45773</v>
      </c>
      <c r="C199" t="s">
        <v>1</v>
      </c>
      <c r="D199" t="s">
        <v>19</v>
      </c>
      <c r="E199" t="s">
        <v>15</v>
      </c>
      <c r="F199" t="s">
        <v>14</v>
      </c>
      <c r="G199" t="s">
        <v>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1230</v>
      </c>
      <c r="B200" s="1">
        <v>45791</v>
      </c>
      <c r="C200" t="s">
        <v>1</v>
      </c>
      <c r="D200" t="s">
        <v>16</v>
      </c>
      <c r="E200" t="s">
        <v>15</v>
      </c>
      <c r="F200" t="s">
        <v>18</v>
      </c>
      <c r="G200" t="s">
        <v>13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1229</v>
      </c>
      <c r="B201" s="1">
        <v>45721</v>
      </c>
      <c r="C201" t="s">
        <v>1</v>
      </c>
      <c r="D201" t="s">
        <v>16</v>
      </c>
      <c r="E201" t="s">
        <v>15</v>
      </c>
      <c r="F201" t="s">
        <v>18</v>
      </c>
      <c r="G201" t="s">
        <v>29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1228</v>
      </c>
      <c r="B202" s="1">
        <v>45749</v>
      </c>
      <c r="C202" t="s">
        <v>1</v>
      </c>
      <c r="D202" t="s">
        <v>21</v>
      </c>
      <c r="E202" t="s">
        <v>25</v>
      </c>
      <c r="F202" t="s">
        <v>18</v>
      </c>
      <c r="G202" t="s">
        <v>17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1227</v>
      </c>
      <c r="B203" s="1">
        <v>45791</v>
      </c>
      <c r="C203" t="s">
        <v>1</v>
      </c>
      <c r="D203" t="s">
        <v>19</v>
      </c>
      <c r="E203" t="s">
        <v>24</v>
      </c>
      <c r="F203" t="s">
        <v>18</v>
      </c>
      <c r="G203" t="s">
        <v>17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1226</v>
      </c>
      <c r="B204" s="1">
        <v>45798</v>
      </c>
      <c r="C204" t="s">
        <v>1</v>
      </c>
      <c r="D204" t="s">
        <v>16</v>
      </c>
      <c r="E204" t="s">
        <v>15</v>
      </c>
      <c r="F204" t="s">
        <v>14</v>
      </c>
      <c r="G204" t="s">
        <v>17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1225</v>
      </c>
      <c r="B205" s="1">
        <v>45684</v>
      </c>
      <c r="C205" t="s">
        <v>1</v>
      </c>
      <c r="D205" t="s">
        <v>20</v>
      </c>
      <c r="E205" t="s">
        <v>15</v>
      </c>
      <c r="F205" t="s">
        <v>22</v>
      </c>
      <c r="G205" t="s">
        <v>13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1224</v>
      </c>
      <c r="B206" s="1">
        <v>45799</v>
      </c>
      <c r="C206" t="s">
        <v>1</v>
      </c>
      <c r="D206" t="s">
        <v>21</v>
      </c>
      <c r="E206" t="s">
        <v>25</v>
      </c>
      <c r="F206" t="s">
        <v>18</v>
      </c>
      <c r="G206" t="s">
        <v>17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1223</v>
      </c>
      <c r="B207" s="1">
        <v>45796</v>
      </c>
      <c r="C207" t="s">
        <v>1</v>
      </c>
      <c r="D207" t="s">
        <v>19</v>
      </c>
      <c r="E207" t="s">
        <v>15</v>
      </c>
      <c r="F207" t="s">
        <v>14</v>
      </c>
      <c r="G207" t="s">
        <v>17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1222</v>
      </c>
      <c r="B208" s="1">
        <v>45671</v>
      </c>
      <c r="C208" t="s">
        <v>1</v>
      </c>
      <c r="D208" t="s">
        <v>19</v>
      </c>
      <c r="E208" t="s">
        <v>25</v>
      </c>
      <c r="F208" t="s">
        <v>14</v>
      </c>
      <c r="G208" t="s">
        <v>17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1221</v>
      </c>
      <c r="B209" s="1">
        <v>45678</v>
      </c>
      <c r="C209" t="s">
        <v>1</v>
      </c>
      <c r="D209" t="s">
        <v>16</v>
      </c>
      <c r="E209" t="s">
        <v>25</v>
      </c>
      <c r="F209" t="s">
        <v>27</v>
      </c>
      <c r="G209" t="s">
        <v>29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1220</v>
      </c>
      <c r="B210" s="1">
        <v>45793</v>
      </c>
      <c r="C210" t="s">
        <v>1</v>
      </c>
      <c r="D210" t="s">
        <v>20</v>
      </c>
      <c r="E210" t="s">
        <v>15</v>
      </c>
      <c r="F210" t="s">
        <v>18</v>
      </c>
      <c r="G210" t="s">
        <v>17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1219</v>
      </c>
      <c r="B211" s="1">
        <v>45690</v>
      </c>
      <c r="C211" t="s">
        <v>1</v>
      </c>
      <c r="D211" t="s">
        <v>16</v>
      </c>
      <c r="E211" t="s">
        <v>15</v>
      </c>
      <c r="F211" t="s">
        <v>23</v>
      </c>
      <c r="G211" t="s">
        <v>17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1218</v>
      </c>
      <c r="B212" s="1">
        <v>45739</v>
      </c>
      <c r="C212" t="s">
        <v>1</v>
      </c>
      <c r="D212" t="s">
        <v>20</v>
      </c>
      <c r="E212" t="s">
        <v>32</v>
      </c>
      <c r="F212" t="s">
        <v>27</v>
      </c>
      <c r="G212" t="s">
        <v>17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1217</v>
      </c>
      <c r="B213" s="1">
        <v>45681</v>
      </c>
      <c r="C213" t="s">
        <v>1</v>
      </c>
      <c r="D213" t="s">
        <v>20</v>
      </c>
      <c r="E213" t="s">
        <v>15</v>
      </c>
      <c r="F213" t="s">
        <v>18</v>
      </c>
      <c r="G213" t="s">
        <v>17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1216</v>
      </c>
      <c r="B214" s="1">
        <v>45759</v>
      </c>
      <c r="C214" t="s">
        <v>1</v>
      </c>
      <c r="D214" t="s">
        <v>16</v>
      </c>
      <c r="E214" t="s">
        <v>25</v>
      </c>
      <c r="F214" t="s">
        <v>18</v>
      </c>
      <c r="G214" t="s">
        <v>17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1215</v>
      </c>
      <c r="B215" s="1">
        <v>45706</v>
      </c>
      <c r="C215" t="s">
        <v>1</v>
      </c>
      <c r="D215" t="s">
        <v>20</v>
      </c>
      <c r="E215" t="s">
        <v>25</v>
      </c>
      <c r="F215" t="s">
        <v>14</v>
      </c>
      <c r="G215" t="s">
        <v>17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1214</v>
      </c>
      <c r="B216" s="1">
        <v>45805</v>
      </c>
      <c r="C216" t="s">
        <v>1</v>
      </c>
      <c r="D216" t="s">
        <v>19</v>
      </c>
      <c r="E216" t="s">
        <v>15</v>
      </c>
      <c r="F216" t="s">
        <v>23</v>
      </c>
      <c r="G216" t="s">
        <v>13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1213</v>
      </c>
      <c r="B217" s="1">
        <v>45765</v>
      </c>
      <c r="C217" t="s">
        <v>1</v>
      </c>
      <c r="D217" t="s">
        <v>19</v>
      </c>
      <c r="E217" t="s">
        <v>15</v>
      </c>
      <c r="F217" t="s">
        <v>22</v>
      </c>
      <c r="G217" t="s">
        <v>13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1212</v>
      </c>
      <c r="B218" s="1">
        <v>45743</v>
      </c>
      <c r="C218" t="s">
        <v>1</v>
      </c>
      <c r="D218" t="s">
        <v>16</v>
      </c>
      <c r="E218" t="s">
        <v>15</v>
      </c>
      <c r="F218" t="s">
        <v>14</v>
      </c>
      <c r="G218" t="s">
        <v>13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1211</v>
      </c>
      <c r="B219" s="1">
        <v>45713</v>
      </c>
      <c r="C219" t="s">
        <v>1</v>
      </c>
      <c r="D219" t="s">
        <v>16</v>
      </c>
      <c r="E219" t="s">
        <v>24</v>
      </c>
      <c r="F219" t="s">
        <v>22</v>
      </c>
      <c r="G219" t="s">
        <v>17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58.235294117647001</v>
      </c>
    </row>
    <row r="220" spans="1:16">
      <c r="A220" t="s">
        <v>1210</v>
      </c>
      <c r="B220" s="1">
        <v>45707</v>
      </c>
      <c r="C220" t="s">
        <v>1</v>
      </c>
      <c r="D220" t="s">
        <v>20</v>
      </c>
      <c r="E220" t="s">
        <v>15</v>
      </c>
      <c r="F220" t="s">
        <v>14</v>
      </c>
      <c r="G220" t="s">
        <v>17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1209</v>
      </c>
      <c r="B221" s="1">
        <v>45758</v>
      </c>
      <c r="C221" t="s">
        <v>1</v>
      </c>
      <c r="D221" t="s">
        <v>21</v>
      </c>
      <c r="E221" t="s">
        <v>15</v>
      </c>
      <c r="F221" t="s">
        <v>14</v>
      </c>
      <c r="G221" t="s">
        <v>17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1208</v>
      </c>
      <c r="B222" s="1">
        <v>45679</v>
      </c>
      <c r="C222" t="s">
        <v>1</v>
      </c>
      <c r="D222" t="s">
        <v>20</v>
      </c>
      <c r="E222" t="s">
        <v>24</v>
      </c>
      <c r="F222" t="s">
        <v>27</v>
      </c>
      <c r="G222" t="s">
        <v>29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1207</v>
      </c>
      <c r="B223" s="1">
        <v>45669</v>
      </c>
      <c r="C223" t="s">
        <v>1</v>
      </c>
      <c r="D223" t="s">
        <v>19</v>
      </c>
      <c r="E223" t="s">
        <v>15</v>
      </c>
      <c r="F223" t="s">
        <v>22</v>
      </c>
      <c r="G223" t="s">
        <v>17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1206</v>
      </c>
      <c r="B224" s="1">
        <v>45705</v>
      </c>
      <c r="C224" t="s">
        <v>1</v>
      </c>
      <c r="D224" t="s">
        <v>21</v>
      </c>
      <c r="E224" t="s">
        <v>15</v>
      </c>
      <c r="F224" t="s">
        <v>23</v>
      </c>
      <c r="G224" t="s">
        <v>17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1205</v>
      </c>
      <c r="B225" s="1">
        <v>45758</v>
      </c>
      <c r="C225" t="s">
        <v>1</v>
      </c>
      <c r="D225" t="s">
        <v>21</v>
      </c>
      <c r="E225" t="s">
        <v>25</v>
      </c>
      <c r="F225" t="s">
        <v>18</v>
      </c>
      <c r="G225" t="s">
        <v>17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1204</v>
      </c>
      <c r="B226" s="1">
        <v>45802</v>
      </c>
      <c r="C226" t="s">
        <v>1</v>
      </c>
      <c r="D226" t="s">
        <v>19</v>
      </c>
      <c r="E226" t="s">
        <v>15</v>
      </c>
      <c r="F226" t="s">
        <v>27</v>
      </c>
      <c r="G226" t="s">
        <v>29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1203</v>
      </c>
      <c r="B227" s="1">
        <v>45728</v>
      </c>
      <c r="C227" t="s">
        <v>1</v>
      </c>
      <c r="D227" t="s">
        <v>19</v>
      </c>
      <c r="E227" t="s">
        <v>15</v>
      </c>
      <c r="F227" t="s">
        <v>18</v>
      </c>
      <c r="G227" t="s">
        <v>13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1202</v>
      </c>
      <c r="B228" s="1">
        <v>45767</v>
      </c>
      <c r="C228" t="s">
        <v>1</v>
      </c>
      <c r="D228" t="s">
        <v>16</v>
      </c>
      <c r="E228" t="s">
        <v>24</v>
      </c>
      <c r="F228" t="s">
        <v>23</v>
      </c>
      <c r="G228" t="s">
        <v>17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1201</v>
      </c>
      <c r="B229" s="1">
        <v>45711</v>
      </c>
      <c r="C229" t="s">
        <v>1</v>
      </c>
      <c r="D229" t="s">
        <v>16</v>
      </c>
      <c r="E229" t="s">
        <v>24</v>
      </c>
      <c r="F229" t="s">
        <v>18</v>
      </c>
      <c r="G229" t="s">
        <v>17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1200</v>
      </c>
      <c r="B230" s="1">
        <v>45681</v>
      </c>
      <c r="C230" t="s">
        <v>1</v>
      </c>
      <c r="D230" t="s">
        <v>16</v>
      </c>
      <c r="E230" t="s">
        <v>15</v>
      </c>
      <c r="F230" t="s">
        <v>18</v>
      </c>
      <c r="G230" t="s">
        <v>13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1199</v>
      </c>
      <c r="B231" s="1">
        <v>45673</v>
      </c>
      <c r="C231" t="s">
        <v>1</v>
      </c>
      <c r="D231" t="s">
        <v>21</v>
      </c>
      <c r="E231" t="s">
        <v>15</v>
      </c>
      <c r="F231" t="s">
        <v>18</v>
      </c>
      <c r="G231" t="s">
        <v>29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1198</v>
      </c>
      <c r="B232" s="1">
        <v>45705</v>
      </c>
      <c r="C232" t="s">
        <v>1</v>
      </c>
      <c r="D232" t="s">
        <v>16</v>
      </c>
      <c r="E232" t="s">
        <v>15</v>
      </c>
      <c r="F232" t="s">
        <v>22</v>
      </c>
      <c r="G232" t="s">
        <v>17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1197</v>
      </c>
      <c r="B233" s="1">
        <v>45781</v>
      </c>
      <c r="C233" t="s">
        <v>1</v>
      </c>
      <c r="D233" t="s">
        <v>16</v>
      </c>
      <c r="E233" t="s">
        <v>25</v>
      </c>
      <c r="F233" t="s">
        <v>18</v>
      </c>
      <c r="G233" t="s">
        <v>13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1196</v>
      </c>
      <c r="B234" s="1">
        <v>45669</v>
      </c>
      <c r="C234" t="s">
        <v>1</v>
      </c>
      <c r="D234" t="s">
        <v>21</v>
      </c>
      <c r="E234" t="s">
        <v>15</v>
      </c>
      <c r="F234" t="s">
        <v>18</v>
      </c>
      <c r="G234" t="s">
        <v>13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1195</v>
      </c>
      <c r="B235" s="1">
        <v>45775</v>
      </c>
      <c r="C235" t="s">
        <v>1</v>
      </c>
      <c r="D235" t="s">
        <v>16</v>
      </c>
      <c r="E235" t="s">
        <v>24</v>
      </c>
      <c r="F235" t="s">
        <v>18</v>
      </c>
      <c r="G235" t="s">
        <v>17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1194</v>
      </c>
      <c r="B236" s="1">
        <v>45714</v>
      </c>
      <c r="C236" t="s">
        <v>1</v>
      </c>
      <c r="D236" t="s">
        <v>16</v>
      </c>
      <c r="E236" t="s">
        <v>15</v>
      </c>
      <c r="F236" t="s">
        <v>18</v>
      </c>
      <c r="G236" t="s">
        <v>17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1193</v>
      </c>
      <c r="B237" s="1">
        <v>45734</v>
      </c>
      <c r="C237" t="s">
        <v>1</v>
      </c>
      <c r="D237" t="s">
        <v>21</v>
      </c>
      <c r="E237" t="s">
        <v>15</v>
      </c>
      <c r="F237" t="s">
        <v>22</v>
      </c>
      <c r="G237" t="s">
        <v>17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1192</v>
      </c>
      <c r="B238" s="1">
        <v>45717</v>
      </c>
      <c r="C238" t="s">
        <v>1</v>
      </c>
      <c r="D238" t="s">
        <v>19</v>
      </c>
      <c r="E238" t="s">
        <v>25</v>
      </c>
      <c r="F238" t="s">
        <v>18</v>
      </c>
      <c r="G238" t="s">
        <v>29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1191</v>
      </c>
      <c r="B239" s="1">
        <v>45752</v>
      </c>
      <c r="C239" t="s">
        <v>1</v>
      </c>
      <c r="D239" t="s">
        <v>16</v>
      </c>
      <c r="E239" t="s">
        <v>25</v>
      </c>
      <c r="F239" t="s">
        <v>22</v>
      </c>
      <c r="G239" t="s">
        <v>29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1190</v>
      </c>
      <c r="B240" s="1">
        <v>45728</v>
      </c>
      <c r="C240" t="s">
        <v>1</v>
      </c>
      <c r="D240" t="s">
        <v>16</v>
      </c>
      <c r="E240" t="s">
        <v>25</v>
      </c>
      <c r="F240" t="s">
        <v>22</v>
      </c>
      <c r="G240" t="s">
        <v>17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1189</v>
      </c>
      <c r="B241" s="1">
        <v>45731</v>
      </c>
      <c r="C241" t="s">
        <v>1</v>
      </c>
      <c r="D241" t="s">
        <v>21</v>
      </c>
      <c r="E241" t="s">
        <v>15</v>
      </c>
      <c r="F241" t="s">
        <v>27</v>
      </c>
      <c r="G241" t="s">
        <v>13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1188</v>
      </c>
      <c r="B242" s="1">
        <v>45711</v>
      </c>
      <c r="C242" t="s">
        <v>1</v>
      </c>
      <c r="D242" t="s">
        <v>21</v>
      </c>
      <c r="E242" t="s">
        <v>15</v>
      </c>
      <c r="F242" t="s">
        <v>23</v>
      </c>
      <c r="G242" t="s">
        <v>17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1187</v>
      </c>
      <c r="B243" s="1">
        <v>45769</v>
      </c>
      <c r="C243" t="s">
        <v>1</v>
      </c>
      <c r="D243" t="s">
        <v>16</v>
      </c>
      <c r="E243" t="s">
        <v>15</v>
      </c>
      <c r="F243" t="s">
        <v>18</v>
      </c>
      <c r="G243" t="s">
        <v>13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1186</v>
      </c>
      <c r="B244" s="1">
        <v>45666</v>
      </c>
      <c r="C244" t="s">
        <v>1</v>
      </c>
      <c r="D244" t="s">
        <v>20</v>
      </c>
      <c r="E244" t="s">
        <v>15</v>
      </c>
      <c r="F244" t="s">
        <v>18</v>
      </c>
      <c r="G244" t="s">
        <v>13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1185</v>
      </c>
      <c r="B245" s="1">
        <v>45721</v>
      </c>
      <c r="C245" t="s">
        <v>1</v>
      </c>
      <c r="D245" t="s">
        <v>20</v>
      </c>
      <c r="E245" t="s">
        <v>24</v>
      </c>
      <c r="F245" t="s">
        <v>22</v>
      </c>
      <c r="G245" t="s">
        <v>29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1184</v>
      </c>
      <c r="B246" s="1">
        <v>45685</v>
      </c>
      <c r="C246" t="s">
        <v>1</v>
      </c>
      <c r="D246" t="s">
        <v>16</v>
      </c>
      <c r="E246" t="s">
        <v>15</v>
      </c>
      <c r="F246" t="s">
        <v>22</v>
      </c>
      <c r="G246" t="s">
        <v>17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1183</v>
      </c>
      <c r="B247" s="1">
        <v>45678</v>
      </c>
      <c r="C247" t="s">
        <v>1</v>
      </c>
      <c r="D247" t="s">
        <v>21</v>
      </c>
      <c r="E247" t="s">
        <v>15</v>
      </c>
      <c r="F247" t="s">
        <v>14</v>
      </c>
      <c r="G247" t="s">
        <v>29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1182</v>
      </c>
      <c r="B248" s="1">
        <v>45730</v>
      </c>
      <c r="C248" t="s">
        <v>1</v>
      </c>
      <c r="D248" t="s">
        <v>19</v>
      </c>
      <c r="E248" t="s">
        <v>15</v>
      </c>
      <c r="F248" t="s">
        <v>27</v>
      </c>
      <c r="G248" t="s">
        <v>13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1181</v>
      </c>
      <c r="B249" s="1">
        <v>45691</v>
      </c>
      <c r="C249" t="s">
        <v>1</v>
      </c>
      <c r="D249" t="s">
        <v>21</v>
      </c>
      <c r="E249" t="s">
        <v>15</v>
      </c>
      <c r="F249" t="s">
        <v>14</v>
      </c>
      <c r="G249" t="s">
        <v>17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1180</v>
      </c>
      <c r="B250" s="1">
        <v>45799</v>
      </c>
      <c r="C250" t="s">
        <v>1</v>
      </c>
      <c r="D250" t="s">
        <v>16</v>
      </c>
      <c r="E250" t="s">
        <v>15</v>
      </c>
      <c r="F250" t="s">
        <v>22</v>
      </c>
      <c r="G250" t="s">
        <v>17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1179</v>
      </c>
      <c r="B251" s="1">
        <v>45772</v>
      </c>
      <c r="C251" t="s">
        <v>1</v>
      </c>
      <c r="D251" t="s">
        <v>16</v>
      </c>
      <c r="E251" t="s">
        <v>25</v>
      </c>
      <c r="F251" t="s">
        <v>23</v>
      </c>
      <c r="G251" t="s">
        <v>17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1178</v>
      </c>
      <c r="B252" s="1">
        <v>45687</v>
      </c>
      <c r="C252" t="s">
        <v>1</v>
      </c>
      <c r="D252" t="s">
        <v>16</v>
      </c>
      <c r="E252" t="s">
        <v>25</v>
      </c>
      <c r="F252" t="s">
        <v>23</v>
      </c>
      <c r="G252" t="s">
        <v>13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1177</v>
      </c>
      <c r="B253" s="1">
        <v>45800</v>
      </c>
      <c r="C253" t="s">
        <v>1</v>
      </c>
      <c r="D253" t="s">
        <v>21</v>
      </c>
      <c r="E253" t="s">
        <v>15</v>
      </c>
      <c r="F253" t="s">
        <v>18</v>
      </c>
      <c r="G253" t="s">
        <v>17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1176</v>
      </c>
      <c r="B254" s="1">
        <v>45702</v>
      </c>
      <c r="C254" t="s">
        <v>1</v>
      </c>
      <c r="D254" t="s">
        <v>20</v>
      </c>
      <c r="E254" t="s">
        <v>25</v>
      </c>
      <c r="F254" t="s">
        <v>18</v>
      </c>
      <c r="G254" t="s">
        <v>17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1175</v>
      </c>
      <c r="B255" s="1">
        <v>45721</v>
      </c>
      <c r="C255" t="s">
        <v>1</v>
      </c>
      <c r="D255" t="s">
        <v>16</v>
      </c>
      <c r="E255" t="s">
        <v>15</v>
      </c>
      <c r="F255" t="s">
        <v>14</v>
      </c>
      <c r="G255" t="s">
        <v>29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1174</v>
      </c>
      <c r="B256" s="1">
        <v>45804</v>
      </c>
      <c r="C256" t="s">
        <v>1</v>
      </c>
      <c r="D256" t="s">
        <v>16</v>
      </c>
      <c r="E256" t="s">
        <v>15</v>
      </c>
      <c r="F256" t="s">
        <v>14</v>
      </c>
      <c r="G256" t="s">
        <v>13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1173</v>
      </c>
      <c r="B257" s="1">
        <v>45664</v>
      </c>
      <c r="C257" t="s">
        <v>1</v>
      </c>
      <c r="D257" t="s">
        <v>19</v>
      </c>
      <c r="E257" t="s">
        <v>15</v>
      </c>
      <c r="F257" t="s">
        <v>14</v>
      </c>
      <c r="G257" t="s">
        <v>17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1172</v>
      </c>
      <c r="B258" s="1">
        <v>45768</v>
      </c>
      <c r="C258" t="s">
        <v>1</v>
      </c>
      <c r="D258" t="s">
        <v>16</v>
      </c>
      <c r="E258" t="s">
        <v>15</v>
      </c>
      <c r="F258" t="s">
        <v>23</v>
      </c>
      <c r="G258" t="s">
        <v>17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1171</v>
      </c>
      <c r="B259" s="1">
        <v>45790</v>
      </c>
      <c r="C259" t="s">
        <v>1</v>
      </c>
      <c r="D259" t="s">
        <v>16</v>
      </c>
      <c r="E259" t="s">
        <v>15</v>
      </c>
      <c r="F259" t="s">
        <v>14</v>
      </c>
      <c r="G259" t="s">
        <v>17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1170</v>
      </c>
      <c r="B260" s="1">
        <v>45685</v>
      </c>
      <c r="C260" t="s">
        <v>1</v>
      </c>
      <c r="D260" t="s">
        <v>20</v>
      </c>
      <c r="E260" t="s">
        <v>25</v>
      </c>
      <c r="F260" t="s">
        <v>18</v>
      </c>
      <c r="G260" t="s">
        <v>17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1169</v>
      </c>
      <c r="B261" s="1">
        <v>45732</v>
      </c>
      <c r="C261" t="s">
        <v>1</v>
      </c>
      <c r="D261" t="s">
        <v>20</v>
      </c>
      <c r="E261" t="s">
        <v>25</v>
      </c>
      <c r="F261" t="s">
        <v>14</v>
      </c>
      <c r="G261" t="s">
        <v>13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1168</v>
      </c>
      <c r="B262" s="1">
        <v>45757</v>
      </c>
      <c r="C262" t="s">
        <v>1</v>
      </c>
      <c r="D262" t="s">
        <v>20</v>
      </c>
      <c r="E262" t="s">
        <v>25</v>
      </c>
      <c r="F262" t="s">
        <v>22</v>
      </c>
      <c r="G262" t="s">
        <v>13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1167</v>
      </c>
      <c r="B263" s="1">
        <v>45731</v>
      </c>
      <c r="C263" t="s">
        <v>1</v>
      </c>
      <c r="D263" t="s">
        <v>20</v>
      </c>
      <c r="E263" t="s">
        <v>25</v>
      </c>
      <c r="F263" t="s">
        <v>27</v>
      </c>
      <c r="G263" t="s">
        <v>17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1166</v>
      </c>
      <c r="B264" s="1">
        <v>45754</v>
      </c>
      <c r="C264" t="s">
        <v>1</v>
      </c>
      <c r="D264" t="s">
        <v>21</v>
      </c>
      <c r="E264" t="s">
        <v>25</v>
      </c>
      <c r="F264" t="s">
        <v>18</v>
      </c>
      <c r="G264" t="s">
        <v>13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1165</v>
      </c>
      <c r="B265" s="1">
        <v>45700</v>
      </c>
      <c r="C265" t="s">
        <v>1</v>
      </c>
      <c r="D265" t="s">
        <v>19</v>
      </c>
      <c r="E265" t="s">
        <v>15</v>
      </c>
      <c r="F265" t="s">
        <v>18</v>
      </c>
      <c r="G265" t="s">
        <v>17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1164</v>
      </c>
      <c r="B266" s="1">
        <v>45782</v>
      </c>
      <c r="C266" t="s">
        <v>1</v>
      </c>
      <c r="D266" t="s">
        <v>21</v>
      </c>
      <c r="E266" t="s">
        <v>15</v>
      </c>
      <c r="F266" t="s">
        <v>22</v>
      </c>
      <c r="G266" t="s">
        <v>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1163</v>
      </c>
      <c r="B267" s="1">
        <v>45727</v>
      </c>
      <c r="C267" t="s">
        <v>1</v>
      </c>
      <c r="D267" t="s">
        <v>21</v>
      </c>
      <c r="E267" t="s">
        <v>15</v>
      </c>
      <c r="F267" t="s">
        <v>27</v>
      </c>
      <c r="G267" t="s">
        <v>17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1162</v>
      </c>
      <c r="B268" s="1">
        <v>45698</v>
      </c>
      <c r="C268" t="s">
        <v>1</v>
      </c>
      <c r="D268" t="s">
        <v>20</v>
      </c>
      <c r="E268" t="s">
        <v>15</v>
      </c>
      <c r="F268" t="s">
        <v>22</v>
      </c>
      <c r="G268" t="s">
        <v>17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1161</v>
      </c>
      <c r="B269" s="1">
        <v>45753</v>
      </c>
      <c r="C269" t="s">
        <v>1</v>
      </c>
      <c r="D269" t="s">
        <v>19</v>
      </c>
      <c r="E269" t="s">
        <v>15</v>
      </c>
      <c r="F269" t="s">
        <v>18</v>
      </c>
      <c r="G269" t="s">
        <v>17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1160</v>
      </c>
      <c r="B270" s="1">
        <v>45663</v>
      </c>
      <c r="C270" t="s">
        <v>1</v>
      </c>
      <c r="D270" t="s">
        <v>20</v>
      </c>
      <c r="E270" t="s">
        <v>15</v>
      </c>
      <c r="F270" t="s">
        <v>27</v>
      </c>
      <c r="G270" t="s">
        <v>17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1159</v>
      </c>
      <c r="B271" s="1">
        <v>45741</v>
      </c>
      <c r="C271" t="s">
        <v>1</v>
      </c>
      <c r="D271" t="s">
        <v>20</v>
      </c>
      <c r="E271" t="s">
        <v>24</v>
      </c>
      <c r="F271" t="s">
        <v>14</v>
      </c>
      <c r="G271" t="s">
        <v>13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1158</v>
      </c>
      <c r="B272" s="1">
        <v>45701</v>
      </c>
      <c r="C272" t="s">
        <v>1</v>
      </c>
      <c r="D272" t="s">
        <v>20</v>
      </c>
      <c r="E272" t="s">
        <v>25</v>
      </c>
      <c r="F272" t="s">
        <v>27</v>
      </c>
      <c r="G272" t="s">
        <v>17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1157</v>
      </c>
      <c r="B273" s="1">
        <v>45733</v>
      </c>
      <c r="C273" t="s">
        <v>1</v>
      </c>
      <c r="D273" t="s">
        <v>21</v>
      </c>
      <c r="E273" t="s">
        <v>25</v>
      </c>
      <c r="F273" t="s">
        <v>18</v>
      </c>
      <c r="G273" t="s">
        <v>17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1156</v>
      </c>
      <c r="B274" s="1">
        <v>45787</v>
      </c>
      <c r="C274" t="s">
        <v>1</v>
      </c>
      <c r="D274" t="s">
        <v>16</v>
      </c>
      <c r="E274" t="s">
        <v>15</v>
      </c>
      <c r="F274" t="s">
        <v>27</v>
      </c>
      <c r="G274" t="s">
        <v>17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1155</v>
      </c>
      <c r="B275" s="1">
        <v>45784</v>
      </c>
      <c r="C275" t="s">
        <v>1</v>
      </c>
      <c r="D275" t="s">
        <v>19</v>
      </c>
      <c r="E275" t="s">
        <v>15</v>
      </c>
      <c r="F275" t="s">
        <v>14</v>
      </c>
      <c r="G275" t="s">
        <v>13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1154</v>
      </c>
      <c r="B276" s="1">
        <v>45714</v>
      </c>
      <c r="C276" t="s">
        <v>1</v>
      </c>
      <c r="D276" t="s">
        <v>21</v>
      </c>
      <c r="E276" t="s">
        <v>25</v>
      </c>
      <c r="F276" t="s">
        <v>14</v>
      </c>
      <c r="G276" t="s">
        <v>29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1153</v>
      </c>
      <c r="B277" s="1">
        <v>45788</v>
      </c>
      <c r="C277" t="s">
        <v>1</v>
      </c>
      <c r="D277" t="s">
        <v>16</v>
      </c>
      <c r="E277" t="s">
        <v>15</v>
      </c>
      <c r="F277" t="s">
        <v>18</v>
      </c>
      <c r="G277" t="s">
        <v>13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1152</v>
      </c>
      <c r="B278" s="1">
        <v>45736</v>
      </c>
      <c r="C278" t="s">
        <v>1</v>
      </c>
      <c r="D278" t="s">
        <v>19</v>
      </c>
      <c r="E278" t="s">
        <v>15</v>
      </c>
      <c r="F278" t="s">
        <v>18</v>
      </c>
      <c r="G278" t="s">
        <v>13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1151</v>
      </c>
      <c r="B279" s="1">
        <v>45676</v>
      </c>
      <c r="C279" t="s">
        <v>1</v>
      </c>
      <c r="D279" t="s">
        <v>16</v>
      </c>
      <c r="E279" t="s">
        <v>15</v>
      </c>
      <c r="F279" t="s">
        <v>23</v>
      </c>
      <c r="G279" t="s">
        <v>17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1150</v>
      </c>
      <c r="B280" s="1">
        <v>45724</v>
      </c>
      <c r="C280" t="s">
        <v>1</v>
      </c>
      <c r="D280" t="s">
        <v>16</v>
      </c>
      <c r="E280" t="s">
        <v>24</v>
      </c>
      <c r="F280" t="s">
        <v>14</v>
      </c>
      <c r="G280" t="s">
        <v>29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1149</v>
      </c>
      <c r="B281" s="1">
        <v>45772</v>
      </c>
      <c r="C281" t="s">
        <v>1</v>
      </c>
      <c r="D281" t="s">
        <v>16</v>
      </c>
      <c r="E281" t="s">
        <v>15</v>
      </c>
      <c r="F281" t="s">
        <v>18</v>
      </c>
      <c r="G281" t="s">
        <v>17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1148</v>
      </c>
      <c r="B282" s="1">
        <v>45751</v>
      </c>
      <c r="C282" t="s">
        <v>1</v>
      </c>
      <c r="D282" t="s">
        <v>16</v>
      </c>
      <c r="E282" t="s">
        <v>25</v>
      </c>
      <c r="F282" t="s">
        <v>18</v>
      </c>
      <c r="G282" t="s">
        <v>17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1147</v>
      </c>
      <c r="B283" s="1">
        <v>45778</v>
      </c>
      <c r="C283" t="s">
        <v>1</v>
      </c>
      <c r="D283" t="s">
        <v>20</v>
      </c>
      <c r="E283" t="s">
        <v>15</v>
      </c>
      <c r="F283" t="s">
        <v>14</v>
      </c>
      <c r="G283" t="s">
        <v>29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1146</v>
      </c>
      <c r="B284" s="1">
        <v>45678</v>
      </c>
      <c r="C284" t="s">
        <v>1</v>
      </c>
      <c r="D284" t="s">
        <v>19</v>
      </c>
      <c r="E284" t="s">
        <v>15</v>
      </c>
      <c r="F284" t="s">
        <v>22</v>
      </c>
      <c r="G284" t="s">
        <v>17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1145</v>
      </c>
      <c r="B285" s="1">
        <v>45698</v>
      </c>
      <c r="C285" t="s">
        <v>1</v>
      </c>
      <c r="D285" t="s">
        <v>16</v>
      </c>
      <c r="E285" t="s">
        <v>25</v>
      </c>
      <c r="F285" t="s">
        <v>27</v>
      </c>
      <c r="G285" t="s">
        <v>13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1144</v>
      </c>
      <c r="B286" s="1">
        <v>45783</v>
      </c>
      <c r="C286" t="s">
        <v>1</v>
      </c>
      <c r="D286" t="s">
        <v>19</v>
      </c>
      <c r="E286" t="s">
        <v>25</v>
      </c>
      <c r="F286" t="s">
        <v>18</v>
      </c>
      <c r="G286" t="s">
        <v>17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1143</v>
      </c>
      <c r="B287" s="1">
        <v>45696</v>
      </c>
      <c r="C287" t="s">
        <v>1</v>
      </c>
      <c r="D287" t="s">
        <v>16</v>
      </c>
      <c r="E287" t="s">
        <v>25</v>
      </c>
      <c r="F287" t="s">
        <v>14</v>
      </c>
      <c r="G287" t="s">
        <v>13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1142</v>
      </c>
      <c r="B288" s="1">
        <v>45808</v>
      </c>
      <c r="C288" t="s">
        <v>1</v>
      </c>
      <c r="D288" t="s">
        <v>20</v>
      </c>
      <c r="E288" t="s">
        <v>15</v>
      </c>
      <c r="F288" t="s">
        <v>22</v>
      </c>
      <c r="G288" t="s">
        <v>17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1141</v>
      </c>
      <c r="B289" s="1">
        <v>45695</v>
      </c>
      <c r="C289" t="s">
        <v>1</v>
      </c>
      <c r="D289" t="s">
        <v>21</v>
      </c>
      <c r="E289" t="s">
        <v>15</v>
      </c>
      <c r="F289" t="s">
        <v>23</v>
      </c>
      <c r="G289" t="s">
        <v>13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1140</v>
      </c>
      <c r="B290" s="1">
        <v>45698</v>
      </c>
      <c r="C290" t="s">
        <v>1</v>
      </c>
      <c r="D290" t="s">
        <v>16</v>
      </c>
      <c r="E290" t="s">
        <v>15</v>
      </c>
      <c r="F290" t="s">
        <v>22</v>
      </c>
      <c r="G290" t="s">
        <v>17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1139</v>
      </c>
      <c r="B291" s="1">
        <v>45688</v>
      </c>
      <c r="C291" t="s">
        <v>1</v>
      </c>
      <c r="D291" t="s">
        <v>21</v>
      </c>
      <c r="E291" t="s">
        <v>15</v>
      </c>
      <c r="F291" t="s">
        <v>22</v>
      </c>
      <c r="G291" t="s">
        <v>13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1138</v>
      </c>
      <c r="B292" s="1">
        <v>45732</v>
      </c>
      <c r="C292" t="s">
        <v>1</v>
      </c>
      <c r="D292" t="s">
        <v>20</v>
      </c>
      <c r="E292" t="s">
        <v>15</v>
      </c>
      <c r="F292" t="s">
        <v>14</v>
      </c>
      <c r="G292" t="s">
        <v>13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1137</v>
      </c>
      <c r="B293" s="1">
        <v>45771</v>
      </c>
      <c r="C293" t="s">
        <v>1</v>
      </c>
      <c r="D293" t="s">
        <v>19</v>
      </c>
      <c r="E293" t="s">
        <v>15</v>
      </c>
      <c r="F293" t="s">
        <v>22</v>
      </c>
      <c r="G293" t="s">
        <v>13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1136</v>
      </c>
      <c r="B294" s="1">
        <v>45685</v>
      </c>
      <c r="C294" t="s">
        <v>1</v>
      </c>
      <c r="D294" t="s">
        <v>16</v>
      </c>
      <c r="E294" t="s">
        <v>15</v>
      </c>
      <c r="F294" t="s">
        <v>18</v>
      </c>
      <c r="G294" t="s">
        <v>17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1135</v>
      </c>
      <c r="B295" s="1">
        <v>45704</v>
      </c>
      <c r="C295" t="s">
        <v>1</v>
      </c>
      <c r="D295" t="s">
        <v>21</v>
      </c>
      <c r="E295" t="s">
        <v>25</v>
      </c>
      <c r="F295" t="s">
        <v>23</v>
      </c>
      <c r="G295" t="s">
        <v>17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1134</v>
      </c>
      <c r="B296" s="1">
        <v>45739</v>
      </c>
      <c r="C296" t="s">
        <v>1</v>
      </c>
      <c r="D296" t="s">
        <v>20</v>
      </c>
      <c r="E296" t="s">
        <v>15</v>
      </c>
      <c r="F296" t="s">
        <v>18</v>
      </c>
      <c r="G296" t="s">
        <v>29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1133</v>
      </c>
      <c r="B297" s="1">
        <v>45808</v>
      </c>
      <c r="C297" t="s">
        <v>1</v>
      </c>
      <c r="D297" t="s">
        <v>20</v>
      </c>
      <c r="E297" t="s">
        <v>15</v>
      </c>
      <c r="F297" t="s">
        <v>14</v>
      </c>
      <c r="G297" t="s">
        <v>29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1132</v>
      </c>
      <c r="B298" s="1">
        <v>45760</v>
      </c>
      <c r="C298" t="s">
        <v>1</v>
      </c>
      <c r="D298" t="s">
        <v>21</v>
      </c>
      <c r="E298" t="s">
        <v>15</v>
      </c>
      <c r="F298" t="s">
        <v>22</v>
      </c>
      <c r="G298" t="s">
        <v>13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1131</v>
      </c>
      <c r="B299" s="1">
        <v>45791</v>
      </c>
      <c r="C299" t="s">
        <v>1</v>
      </c>
      <c r="D299" t="s">
        <v>16</v>
      </c>
      <c r="E299" t="s">
        <v>24</v>
      </c>
      <c r="F299" t="s">
        <v>23</v>
      </c>
      <c r="G299" t="s">
        <v>13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1130</v>
      </c>
      <c r="B300" s="1">
        <v>45707</v>
      </c>
      <c r="C300" t="s">
        <v>1</v>
      </c>
      <c r="D300" t="s">
        <v>20</v>
      </c>
      <c r="E300" t="s">
        <v>15</v>
      </c>
      <c r="F300" t="s">
        <v>14</v>
      </c>
      <c r="G300" t="s">
        <v>17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1129</v>
      </c>
      <c r="B301" s="1">
        <v>45681</v>
      </c>
      <c r="C301" t="s">
        <v>1</v>
      </c>
      <c r="D301" t="s">
        <v>19</v>
      </c>
      <c r="E301" t="s">
        <v>15</v>
      </c>
      <c r="F301" t="s">
        <v>32</v>
      </c>
      <c r="G301" t="s">
        <v>13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P301">
        <v>88.9</v>
      </c>
    </row>
    <row r="302" spans="1:16">
      <c r="A302" t="s">
        <v>1128</v>
      </c>
      <c r="B302" s="1">
        <v>45786</v>
      </c>
      <c r="C302" t="s">
        <v>1</v>
      </c>
      <c r="D302" t="s">
        <v>16</v>
      </c>
      <c r="E302" t="s">
        <v>15</v>
      </c>
      <c r="F302" t="s">
        <v>23</v>
      </c>
      <c r="G302" t="s">
        <v>13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1127</v>
      </c>
      <c r="B303" s="1">
        <v>45699</v>
      </c>
      <c r="C303" t="s">
        <v>1</v>
      </c>
      <c r="D303" t="s">
        <v>16</v>
      </c>
      <c r="E303" t="s">
        <v>15</v>
      </c>
      <c r="F303" t="s">
        <v>18</v>
      </c>
      <c r="G303" t="s">
        <v>13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1126</v>
      </c>
      <c r="B304" s="1">
        <v>45714</v>
      </c>
      <c r="C304" t="s">
        <v>1</v>
      </c>
      <c r="D304" t="s">
        <v>16</v>
      </c>
      <c r="E304" t="s">
        <v>25</v>
      </c>
      <c r="F304" t="s">
        <v>18</v>
      </c>
      <c r="G304" t="s">
        <v>13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1125</v>
      </c>
      <c r="B305" s="1">
        <v>45700</v>
      </c>
      <c r="C305" t="s">
        <v>1</v>
      </c>
      <c r="D305" t="s">
        <v>19</v>
      </c>
      <c r="E305" t="s">
        <v>15</v>
      </c>
      <c r="F305" t="s">
        <v>22</v>
      </c>
      <c r="G305" t="s">
        <v>29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1124</v>
      </c>
      <c r="B306" s="1">
        <v>45662</v>
      </c>
      <c r="C306" t="s">
        <v>1</v>
      </c>
      <c r="D306" t="s">
        <v>19</v>
      </c>
      <c r="E306" t="s">
        <v>24</v>
      </c>
      <c r="F306" t="s">
        <v>22</v>
      </c>
      <c r="G306" t="s">
        <v>29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1123</v>
      </c>
      <c r="B307" s="1">
        <v>45796</v>
      </c>
      <c r="C307" t="s">
        <v>1</v>
      </c>
      <c r="D307" t="s">
        <v>21</v>
      </c>
      <c r="E307" t="s">
        <v>15</v>
      </c>
      <c r="F307" t="s">
        <v>18</v>
      </c>
      <c r="G307" t="s">
        <v>29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1122</v>
      </c>
      <c r="B308" s="1">
        <v>45690</v>
      </c>
      <c r="C308" t="s">
        <v>1</v>
      </c>
      <c r="D308" t="s">
        <v>16</v>
      </c>
      <c r="E308" t="s">
        <v>15</v>
      </c>
      <c r="F308" t="s">
        <v>22</v>
      </c>
      <c r="G308" t="s">
        <v>17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1121</v>
      </c>
      <c r="B309" s="1">
        <v>45687</v>
      </c>
      <c r="C309" t="s">
        <v>1</v>
      </c>
      <c r="D309" t="s">
        <v>21</v>
      </c>
      <c r="E309" t="s">
        <v>24</v>
      </c>
      <c r="F309" t="s">
        <v>14</v>
      </c>
      <c r="G309" t="s">
        <v>17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1120</v>
      </c>
      <c r="B310" s="1">
        <v>45778</v>
      </c>
      <c r="C310" t="s">
        <v>1</v>
      </c>
      <c r="D310" t="s">
        <v>19</v>
      </c>
      <c r="E310" t="s">
        <v>25</v>
      </c>
      <c r="F310" t="s">
        <v>23</v>
      </c>
      <c r="G310" t="s">
        <v>17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1119</v>
      </c>
      <c r="B311" s="1">
        <v>45793</v>
      </c>
      <c r="C311" t="s">
        <v>1</v>
      </c>
      <c r="D311" t="s">
        <v>19</v>
      </c>
      <c r="E311" t="s">
        <v>25</v>
      </c>
      <c r="F311" t="s">
        <v>27</v>
      </c>
      <c r="G311" t="s">
        <v>13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1118</v>
      </c>
      <c r="B312" s="1">
        <v>45724</v>
      </c>
      <c r="C312" t="s">
        <v>1</v>
      </c>
      <c r="D312" t="s">
        <v>21</v>
      </c>
      <c r="E312" t="s">
        <v>15</v>
      </c>
      <c r="F312" t="s">
        <v>18</v>
      </c>
      <c r="G312" t="s">
        <v>17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1117</v>
      </c>
      <c r="B313" s="1">
        <v>45751</v>
      </c>
      <c r="C313" t="s">
        <v>1</v>
      </c>
      <c r="D313" t="s">
        <v>16</v>
      </c>
      <c r="E313" t="s">
        <v>15</v>
      </c>
      <c r="F313" t="s">
        <v>18</v>
      </c>
      <c r="G313" t="s">
        <v>13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1116</v>
      </c>
      <c r="B314" s="1">
        <v>45807</v>
      </c>
      <c r="C314" t="s">
        <v>1</v>
      </c>
      <c r="D314" t="s">
        <v>19</v>
      </c>
      <c r="E314" t="s">
        <v>24</v>
      </c>
      <c r="F314" t="s">
        <v>18</v>
      </c>
      <c r="G314" t="s">
        <v>17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1115</v>
      </c>
      <c r="B315" s="1">
        <v>45662</v>
      </c>
      <c r="C315" t="s">
        <v>1</v>
      </c>
      <c r="D315" t="s">
        <v>21</v>
      </c>
      <c r="E315" t="s">
        <v>15</v>
      </c>
      <c r="F315" t="s">
        <v>18</v>
      </c>
      <c r="G315" t="s">
        <v>29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1114</v>
      </c>
      <c r="B316" s="1">
        <v>45677</v>
      </c>
      <c r="C316" t="s">
        <v>1</v>
      </c>
      <c r="D316" t="s">
        <v>20</v>
      </c>
      <c r="E316" t="s">
        <v>15</v>
      </c>
      <c r="F316" t="s">
        <v>18</v>
      </c>
      <c r="G316" t="s">
        <v>17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1113</v>
      </c>
      <c r="B317" s="1">
        <v>45778</v>
      </c>
      <c r="C317" t="s">
        <v>1</v>
      </c>
      <c r="D317" t="s">
        <v>20</v>
      </c>
      <c r="E317" t="s">
        <v>15</v>
      </c>
      <c r="F317" t="s">
        <v>23</v>
      </c>
      <c r="G317" t="s">
        <v>17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1112</v>
      </c>
      <c r="B318" s="1">
        <v>45721</v>
      </c>
      <c r="C318" t="s">
        <v>1</v>
      </c>
      <c r="D318" t="s">
        <v>16</v>
      </c>
      <c r="E318" t="s">
        <v>25</v>
      </c>
      <c r="F318" t="s">
        <v>18</v>
      </c>
      <c r="G318" t="s">
        <v>29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1111</v>
      </c>
      <c r="B319" s="1">
        <v>45748</v>
      </c>
      <c r="C319" t="s">
        <v>1</v>
      </c>
      <c r="D319" t="s">
        <v>20</v>
      </c>
      <c r="E319" t="s">
        <v>25</v>
      </c>
      <c r="F319" t="s">
        <v>27</v>
      </c>
      <c r="G319" t="s">
        <v>17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1110</v>
      </c>
      <c r="B320" s="1">
        <v>45780</v>
      </c>
      <c r="C320" t="s">
        <v>1</v>
      </c>
      <c r="D320" t="s">
        <v>16</v>
      </c>
      <c r="E320" t="s">
        <v>15</v>
      </c>
      <c r="F320" t="s">
        <v>18</v>
      </c>
      <c r="G320" t="s">
        <v>17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1109</v>
      </c>
      <c r="B321" s="1">
        <v>45722</v>
      </c>
      <c r="C321" t="s">
        <v>1</v>
      </c>
      <c r="D321" t="s">
        <v>19</v>
      </c>
      <c r="E321" t="s">
        <v>25</v>
      </c>
      <c r="F321" t="s">
        <v>14</v>
      </c>
      <c r="G321" t="s">
        <v>29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1108</v>
      </c>
      <c r="B322" s="1">
        <v>45748</v>
      </c>
      <c r="C322" t="s">
        <v>1</v>
      </c>
      <c r="D322" t="s">
        <v>16</v>
      </c>
      <c r="E322" t="s">
        <v>25</v>
      </c>
      <c r="F322" t="s">
        <v>27</v>
      </c>
      <c r="G322" t="s">
        <v>29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1107</v>
      </c>
      <c r="B323" s="1">
        <v>45697</v>
      </c>
      <c r="C323" t="s">
        <v>1</v>
      </c>
      <c r="D323" t="s">
        <v>16</v>
      </c>
      <c r="E323" t="s">
        <v>25</v>
      </c>
      <c r="F323" t="s">
        <v>22</v>
      </c>
      <c r="G323" t="s">
        <v>13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1106</v>
      </c>
      <c r="B324" s="1">
        <v>45759</v>
      </c>
      <c r="C324" t="s">
        <v>1</v>
      </c>
      <c r="D324" t="s">
        <v>21</v>
      </c>
      <c r="E324" t="s">
        <v>15</v>
      </c>
      <c r="F324" t="s">
        <v>18</v>
      </c>
      <c r="G324" t="s">
        <v>13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1105</v>
      </c>
      <c r="B325" s="1">
        <v>45734</v>
      </c>
      <c r="C325" t="s">
        <v>1</v>
      </c>
      <c r="D325" t="s">
        <v>20</v>
      </c>
      <c r="E325" t="s">
        <v>15</v>
      </c>
      <c r="F325" t="s">
        <v>22</v>
      </c>
      <c r="G325" t="s">
        <v>17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1104</v>
      </c>
      <c r="B326" s="1">
        <v>45750</v>
      </c>
      <c r="C326" t="s">
        <v>1</v>
      </c>
      <c r="D326" t="s">
        <v>20</v>
      </c>
      <c r="E326" t="s">
        <v>15</v>
      </c>
      <c r="F326" t="s">
        <v>14</v>
      </c>
      <c r="G326" t="s">
        <v>17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1103</v>
      </c>
      <c r="B327" s="1">
        <v>45749</v>
      </c>
      <c r="C327" t="s">
        <v>1</v>
      </c>
      <c r="D327" t="s">
        <v>21</v>
      </c>
      <c r="E327" t="s">
        <v>15</v>
      </c>
      <c r="F327" t="s">
        <v>23</v>
      </c>
      <c r="G327" t="s">
        <v>29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1102</v>
      </c>
      <c r="B328" s="1">
        <v>45787</v>
      </c>
      <c r="C328" t="s">
        <v>1</v>
      </c>
      <c r="D328" t="s">
        <v>21</v>
      </c>
      <c r="E328" t="s">
        <v>25</v>
      </c>
      <c r="F328" t="s">
        <v>23</v>
      </c>
      <c r="G328" t="s">
        <v>13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1101</v>
      </c>
      <c r="B329" s="1">
        <v>45776</v>
      </c>
      <c r="C329" t="s">
        <v>1</v>
      </c>
      <c r="D329" t="s">
        <v>21</v>
      </c>
      <c r="E329" t="s">
        <v>25</v>
      </c>
      <c r="F329" t="s">
        <v>14</v>
      </c>
      <c r="G329" t="s">
        <v>17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1100</v>
      </c>
      <c r="B330" s="1">
        <v>45715</v>
      </c>
      <c r="C330" t="s">
        <v>1</v>
      </c>
      <c r="D330" t="s">
        <v>19</v>
      </c>
      <c r="E330" t="s">
        <v>15</v>
      </c>
      <c r="F330" t="s">
        <v>14</v>
      </c>
      <c r="G330" t="s">
        <v>17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1099</v>
      </c>
      <c r="B331" s="1">
        <v>45757</v>
      </c>
      <c r="C331" t="s">
        <v>1</v>
      </c>
      <c r="D331" t="s">
        <v>16</v>
      </c>
      <c r="E331" t="s">
        <v>25</v>
      </c>
      <c r="F331" t="s">
        <v>18</v>
      </c>
      <c r="G331" t="s">
        <v>29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1098</v>
      </c>
      <c r="B332" s="1">
        <v>45701</v>
      </c>
      <c r="C332" t="s">
        <v>1</v>
      </c>
      <c r="D332" t="s">
        <v>20</v>
      </c>
      <c r="E332" t="s">
        <v>15</v>
      </c>
      <c r="F332" t="s">
        <v>18</v>
      </c>
      <c r="G332" t="s">
        <v>17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1097</v>
      </c>
      <c r="B333" s="1">
        <v>45780</v>
      </c>
      <c r="C333" t="s">
        <v>1</v>
      </c>
      <c r="D333" t="s">
        <v>16</v>
      </c>
      <c r="E333" t="s">
        <v>15</v>
      </c>
      <c r="F333" t="s">
        <v>18</v>
      </c>
      <c r="G333" t="s">
        <v>13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1096</v>
      </c>
      <c r="B334" s="1">
        <v>45726</v>
      </c>
      <c r="C334" t="s">
        <v>1</v>
      </c>
      <c r="D334" t="s">
        <v>20</v>
      </c>
      <c r="E334" t="s">
        <v>15</v>
      </c>
      <c r="F334" t="s">
        <v>18</v>
      </c>
      <c r="G334" t="s">
        <v>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1095</v>
      </c>
      <c r="B335" s="1">
        <v>45667</v>
      </c>
      <c r="C335" t="s">
        <v>1</v>
      </c>
      <c r="D335" t="s">
        <v>21</v>
      </c>
      <c r="E335" t="s">
        <v>24</v>
      </c>
      <c r="F335" t="s">
        <v>22</v>
      </c>
      <c r="G335" t="s">
        <v>17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1094</v>
      </c>
      <c r="B336" s="1">
        <v>45673</v>
      </c>
      <c r="C336" t="s">
        <v>1</v>
      </c>
      <c r="D336" t="s">
        <v>19</v>
      </c>
      <c r="E336" t="s">
        <v>15</v>
      </c>
      <c r="F336" t="s">
        <v>23</v>
      </c>
      <c r="G336" t="s">
        <v>13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1093</v>
      </c>
      <c r="B337" s="1">
        <v>45699</v>
      </c>
      <c r="C337" t="s">
        <v>1</v>
      </c>
      <c r="D337" t="s">
        <v>19</v>
      </c>
      <c r="E337" t="s">
        <v>25</v>
      </c>
      <c r="F337" t="s">
        <v>18</v>
      </c>
      <c r="G337" t="s">
        <v>29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1092</v>
      </c>
      <c r="B338" s="1">
        <v>45760</v>
      </c>
      <c r="C338" t="s">
        <v>1</v>
      </c>
      <c r="D338" t="s">
        <v>21</v>
      </c>
      <c r="E338" t="s">
        <v>15</v>
      </c>
      <c r="F338" t="s">
        <v>18</v>
      </c>
      <c r="G338" t="s">
        <v>17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1091</v>
      </c>
      <c r="B339" s="1">
        <v>45696</v>
      </c>
      <c r="C339" t="s">
        <v>1</v>
      </c>
      <c r="D339" t="s">
        <v>20</v>
      </c>
      <c r="E339" t="s">
        <v>15</v>
      </c>
      <c r="F339" t="s">
        <v>14</v>
      </c>
      <c r="G339" t="s">
        <v>17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1090</v>
      </c>
      <c r="B340" s="1">
        <v>45747</v>
      </c>
      <c r="C340" t="s">
        <v>1</v>
      </c>
      <c r="D340" t="s">
        <v>21</v>
      </c>
      <c r="E340" t="s">
        <v>25</v>
      </c>
      <c r="F340" t="s">
        <v>27</v>
      </c>
      <c r="G340" t="s">
        <v>17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1089</v>
      </c>
      <c r="B341" s="1">
        <v>45688</v>
      </c>
      <c r="C341" t="s">
        <v>1</v>
      </c>
      <c r="D341" t="s">
        <v>21</v>
      </c>
      <c r="E341" t="s">
        <v>25</v>
      </c>
      <c r="F341" t="s">
        <v>27</v>
      </c>
      <c r="G341" t="s">
        <v>17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1088</v>
      </c>
      <c r="B342" s="1">
        <v>45785</v>
      </c>
      <c r="C342" t="s">
        <v>1</v>
      </c>
      <c r="D342" t="s">
        <v>21</v>
      </c>
      <c r="E342" t="s">
        <v>24</v>
      </c>
      <c r="F342" t="s">
        <v>18</v>
      </c>
      <c r="G342" t="s">
        <v>17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1087</v>
      </c>
      <c r="B343" s="1">
        <v>45731</v>
      </c>
      <c r="C343" t="s">
        <v>1</v>
      </c>
      <c r="D343" t="s">
        <v>16</v>
      </c>
      <c r="E343" t="s">
        <v>15</v>
      </c>
      <c r="F343" t="s">
        <v>14</v>
      </c>
      <c r="G343" t="s">
        <v>17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1086</v>
      </c>
      <c r="B344" s="1">
        <v>45670</v>
      </c>
      <c r="C344" t="s">
        <v>1</v>
      </c>
      <c r="D344" t="s">
        <v>19</v>
      </c>
      <c r="E344" t="s">
        <v>15</v>
      </c>
      <c r="F344" t="s">
        <v>27</v>
      </c>
      <c r="G344" t="s">
        <v>13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1085</v>
      </c>
      <c r="B345" s="1">
        <v>45723</v>
      </c>
      <c r="C345" t="s">
        <v>1</v>
      </c>
      <c r="D345" t="s">
        <v>19</v>
      </c>
      <c r="E345" t="s">
        <v>24</v>
      </c>
      <c r="F345" t="s">
        <v>18</v>
      </c>
      <c r="G345" t="s">
        <v>13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1084</v>
      </c>
      <c r="B346" s="1">
        <v>45698</v>
      </c>
      <c r="C346" t="s">
        <v>1</v>
      </c>
      <c r="D346" t="s">
        <v>19</v>
      </c>
      <c r="E346" t="s">
        <v>15</v>
      </c>
      <c r="F346" t="s">
        <v>22</v>
      </c>
      <c r="G346" t="s">
        <v>29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1083</v>
      </c>
      <c r="B347" s="1">
        <v>45728</v>
      </c>
      <c r="C347" t="s">
        <v>1</v>
      </c>
      <c r="D347" t="s">
        <v>20</v>
      </c>
      <c r="E347" t="s">
        <v>15</v>
      </c>
      <c r="F347" t="s">
        <v>14</v>
      </c>
      <c r="G347" t="s">
        <v>17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1082</v>
      </c>
      <c r="B348" s="1">
        <v>45660</v>
      </c>
      <c r="C348" t="s">
        <v>1</v>
      </c>
      <c r="D348" t="s">
        <v>19</v>
      </c>
      <c r="E348" t="s">
        <v>25</v>
      </c>
      <c r="F348" t="s">
        <v>14</v>
      </c>
      <c r="G348" t="s">
        <v>17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1081</v>
      </c>
      <c r="B349" s="1">
        <v>45775</v>
      </c>
      <c r="C349" t="s">
        <v>1</v>
      </c>
      <c r="D349" t="s">
        <v>16</v>
      </c>
      <c r="E349" t="s">
        <v>24</v>
      </c>
      <c r="F349" t="s">
        <v>22</v>
      </c>
      <c r="G349" t="s">
        <v>13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1080</v>
      </c>
      <c r="B350" s="1">
        <v>45764</v>
      </c>
      <c r="C350" t="s">
        <v>1</v>
      </c>
      <c r="D350" t="s">
        <v>20</v>
      </c>
      <c r="E350" t="s">
        <v>15</v>
      </c>
      <c r="F350" t="s">
        <v>18</v>
      </c>
      <c r="G350" t="s">
        <v>17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1079</v>
      </c>
      <c r="B351" s="1">
        <v>45800</v>
      </c>
      <c r="C351" t="s">
        <v>1</v>
      </c>
      <c r="D351" t="s">
        <v>19</v>
      </c>
      <c r="E351" t="s">
        <v>25</v>
      </c>
      <c r="F351" t="s">
        <v>22</v>
      </c>
      <c r="G351" t="s">
        <v>13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1078</v>
      </c>
      <c r="B352" s="1">
        <v>45707</v>
      </c>
      <c r="C352" t="s">
        <v>1</v>
      </c>
      <c r="D352" t="s">
        <v>21</v>
      </c>
      <c r="E352" t="s">
        <v>24</v>
      </c>
      <c r="F352" t="s">
        <v>27</v>
      </c>
      <c r="G352" t="s">
        <v>13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1077</v>
      </c>
      <c r="B353" s="1">
        <v>45675</v>
      </c>
      <c r="C353" t="s">
        <v>1</v>
      </c>
      <c r="D353" t="s">
        <v>19</v>
      </c>
      <c r="E353" t="s">
        <v>25</v>
      </c>
      <c r="F353" t="s">
        <v>18</v>
      </c>
      <c r="G353" t="s">
        <v>17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1076</v>
      </c>
      <c r="B354" s="1">
        <v>45764</v>
      </c>
      <c r="C354" t="s">
        <v>1</v>
      </c>
      <c r="D354" t="s">
        <v>16</v>
      </c>
      <c r="E354" t="s">
        <v>15</v>
      </c>
      <c r="F354" t="s">
        <v>18</v>
      </c>
      <c r="G354" t="s">
        <v>17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1075</v>
      </c>
      <c r="B355" s="1">
        <v>45759</v>
      </c>
      <c r="C355" t="s">
        <v>1</v>
      </c>
      <c r="D355" t="s">
        <v>20</v>
      </c>
      <c r="E355" t="s">
        <v>24</v>
      </c>
      <c r="F355" t="s">
        <v>22</v>
      </c>
      <c r="G355" t="s">
        <v>17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1074</v>
      </c>
      <c r="B356" s="1">
        <v>45793</v>
      </c>
      <c r="C356" t="s">
        <v>1</v>
      </c>
      <c r="D356" t="s">
        <v>20</v>
      </c>
      <c r="E356" t="s">
        <v>15</v>
      </c>
      <c r="F356" t="s">
        <v>23</v>
      </c>
      <c r="G356" t="s">
        <v>17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1073</v>
      </c>
      <c r="B357" s="1">
        <v>45740</v>
      </c>
      <c r="C357" t="s">
        <v>1</v>
      </c>
      <c r="D357" t="s">
        <v>21</v>
      </c>
      <c r="E357" t="s">
        <v>15</v>
      </c>
      <c r="F357" t="s">
        <v>22</v>
      </c>
      <c r="G357" t="s">
        <v>17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1072</v>
      </c>
      <c r="B358" s="1">
        <v>45704</v>
      </c>
      <c r="C358" t="s">
        <v>1</v>
      </c>
      <c r="D358" t="s">
        <v>21</v>
      </c>
      <c r="E358" t="s">
        <v>15</v>
      </c>
      <c r="F358" t="s">
        <v>18</v>
      </c>
      <c r="G358" t="s">
        <v>13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1071</v>
      </c>
      <c r="B359" s="1">
        <v>45735</v>
      </c>
      <c r="C359" t="s">
        <v>1</v>
      </c>
      <c r="D359" t="s">
        <v>16</v>
      </c>
      <c r="E359" t="s">
        <v>24</v>
      </c>
      <c r="F359" t="s">
        <v>18</v>
      </c>
      <c r="G359" t="s">
        <v>17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1070</v>
      </c>
      <c r="B360" s="1">
        <v>45768</v>
      </c>
      <c r="C360" t="s">
        <v>1</v>
      </c>
      <c r="D360" t="s">
        <v>19</v>
      </c>
      <c r="E360" t="s">
        <v>15</v>
      </c>
      <c r="F360" t="s">
        <v>18</v>
      </c>
      <c r="G360" t="s">
        <v>13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1069</v>
      </c>
      <c r="B361" s="1">
        <v>45668</v>
      </c>
      <c r="C361" t="s">
        <v>1</v>
      </c>
      <c r="D361" t="s">
        <v>21</v>
      </c>
      <c r="E361" t="s">
        <v>15</v>
      </c>
      <c r="F361" t="s">
        <v>18</v>
      </c>
      <c r="G361" t="s">
        <v>17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1068</v>
      </c>
      <c r="B362" s="1">
        <v>45771</v>
      </c>
      <c r="C362" t="s">
        <v>1</v>
      </c>
      <c r="D362" t="s">
        <v>21</v>
      </c>
      <c r="E362" t="s">
        <v>25</v>
      </c>
      <c r="F362" t="s">
        <v>18</v>
      </c>
      <c r="G362" t="s">
        <v>17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1067</v>
      </c>
      <c r="B363" s="1">
        <v>45729</v>
      </c>
      <c r="C363" t="s">
        <v>1</v>
      </c>
      <c r="D363" t="s">
        <v>16</v>
      </c>
      <c r="E363" t="s">
        <v>15</v>
      </c>
      <c r="F363" t="s">
        <v>22</v>
      </c>
      <c r="G363" t="s">
        <v>29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1066</v>
      </c>
      <c r="B364" s="1">
        <v>45687</v>
      </c>
      <c r="C364" t="s">
        <v>1</v>
      </c>
      <c r="D364" t="s">
        <v>16</v>
      </c>
      <c r="E364" t="s">
        <v>15</v>
      </c>
      <c r="F364" t="s">
        <v>22</v>
      </c>
      <c r="G364" t="s">
        <v>13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1065</v>
      </c>
      <c r="B365" s="1">
        <v>45785</v>
      </c>
      <c r="C365" t="s">
        <v>1</v>
      </c>
      <c r="D365" t="s">
        <v>19</v>
      </c>
      <c r="E365" t="s">
        <v>15</v>
      </c>
      <c r="F365" t="s">
        <v>22</v>
      </c>
      <c r="G365" t="s">
        <v>13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1064</v>
      </c>
      <c r="B366" s="1">
        <v>45665</v>
      </c>
      <c r="C366" t="s">
        <v>1</v>
      </c>
      <c r="D366" t="s">
        <v>20</v>
      </c>
      <c r="E366" t="s">
        <v>25</v>
      </c>
      <c r="F366" t="s">
        <v>22</v>
      </c>
      <c r="G366" t="s">
        <v>17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1063</v>
      </c>
      <c r="B367" s="1">
        <v>45780</v>
      </c>
      <c r="C367" t="s">
        <v>1</v>
      </c>
      <c r="D367" t="s">
        <v>19</v>
      </c>
      <c r="E367" t="s">
        <v>15</v>
      </c>
      <c r="F367" t="s">
        <v>18</v>
      </c>
      <c r="G367" t="s">
        <v>17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1062</v>
      </c>
      <c r="B368" s="1">
        <v>45700</v>
      </c>
      <c r="C368" t="s">
        <v>1</v>
      </c>
      <c r="D368" t="s">
        <v>20</v>
      </c>
      <c r="E368" t="s">
        <v>15</v>
      </c>
      <c r="F368" t="s">
        <v>14</v>
      </c>
      <c r="G368" t="s">
        <v>17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1061</v>
      </c>
      <c r="B369" s="1">
        <v>45713</v>
      </c>
      <c r="C369" t="s">
        <v>1</v>
      </c>
      <c r="D369" t="s">
        <v>19</v>
      </c>
      <c r="E369" t="s">
        <v>24</v>
      </c>
      <c r="F369" t="s">
        <v>18</v>
      </c>
      <c r="G369" t="s">
        <v>17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1060</v>
      </c>
      <c r="B370" s="1">
        <v>45761</v>
      </c>
      <c r="C370" t="s">
        <v>1</v>
      </c>
      <c r="D370" t="s">
        <v>19</v>
      </c>
      <c r="E370" t="s">
        <v>15</v>
      </c>
      <c r="F370" t="s">
        <v>27</v>
      </c>
      <c r="G370" t="s">
        <v>17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1059</v>
      </c>
      <c r="B371" s="1">
        <v>45665</v>
      </c>
      <c r="C371" t="s">
        <v>1</v>
      </c>
      <c r="D371" t="s">
        <v>16</v>
      </c>
      <c r="E371" t="s">
        <v>15</v>
      </c>
      <c r="F371" t="s">
        <v>27</v>
      </c>
      <c r="G371" t="s">
        <v>29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1058</v>
      </c>
      <c r="B372" s="1">
        <v>45730</v>
      </c>
      <c r="C372" t="s">
        <v>1</v>
      </c>
      <c r="D372" t="s">
        <v>20</v>
      </c>
      <c r="E372" t="s">
        <v>15</v>
      </c>
      <c r="F372" t="s">
        <v>23</v>
      </c>
      <c r="G372" t="s">
        <v>17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1057</v>
      </c>
      <c r="B373" s="1">
        <v>45776</v>
      </c>
      <c r="C373" t="s">
        <v>1</v>
      </c>
      <c r="D373" t="s">
        <v>16</v>
      </c>
      <c r="E373" t="s">
        <v>25</v>
      </c>
      <c r="F373" t="s">
        <v>14</v>
      </c>
      <c r="G373" t="s">
        <v>29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1056</v>
      </c>
      <c r="B374" s="1">
        <v>45778</v>
      </c>
      <c r="C374" t="s">
        <v>1</v>
      </c>
      <c r="D374" t="s">
        <v>20</v>
      </c>
      <c r="E374" t="s">
        <v>25</v>
      </c>
      <c r="F374" t="s">
        <v>22</v>
      </c>
      <c r="G374" t="s">
        <v>17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1055</v>
      </c>
      <c r="B375" s="1">
        <v>45735</v>
      </c>
      <c r="C375" t="s">
        <v>1</v>
      </c>
      <c r="D375" t="s">
        <v>16</v>
      </c>
      <c r="E375" t="s">
        <v>15</v>
      </c>
      <c r="F375" t="s">
        <v>27</v>
      </c>
      <c r="G375" t="s">
        <v>17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1054</v>
      </c>
      <c r="B376" s="1">
        <v>45778</v>
      </c>
      <c r="C376" t="s">
        <v>1</v>
      </c>
      <c r="D376" t="s">
        <v>19</v>
      </c>
      <c r="E376" t="s">
        <v>25</v>
      </c>
      <c r="F376" t="s">
        <v>22</v>
      </c>
      <c r="G376" t="s">
        <v>13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1053</v>
      </c>
      <c r="B377" s="1">
        <v>45730</v>
      </c>
      <c r="C377" t="s">
        <v>1</v>
      </c>
      <c r="D377" t="s">
        <v>21</v>
      </c>
      <c r="E377" t="s">
        <v>15</v>
      </c>
      <c r="F377" t="s">
        <v>18</v>
      </c>
      <c r="G377" t="s">
        <v>17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1052</v>
      </c>
      <c r="B378" s="1">
        <v>45739</v>
      </c>
      <c r="C378" t="s">
        <v>1</v>
      </c>
      <c r="D378" t="s">
        <v>16</v>
      </c>
      <c r="E378" t="s">
        <v>15</v>
      </c>
      <c r="F378" t="s">
        <v>14</v>
      </c>
      <c r="G378" t="s">
        <v>17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1051</v>
      </c>
      <c r="B379" s="1">
        <v>45696</v>
      </c>
      <c r="C379" t="s">
        <v>1</v>
      </c>
      <c r="D379" t="s">
        <v>20</v>
      </c>
      <c r="E379" t="s">
        <v>15</v>
      </c>
      <c r="F379" t="s">
        <v>27</v>
      </c>
      <c r="G379" t="s">
        <v>13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1050</v>
      </c>
      <c r="B380" s="1">
        <v>45762</v>
      </c>
      <c r="C380" t="s">
        <v>1</v>
      </c>
      <c r="D380" t="s">
        <v>21</v>
      </c>
      <c r="E380" t="s">
        <v>24</v>
      </c>
      <c r="F380" t="s">
        <v>14</v>
      </c>
      <c r="G380" t="s">
        <v>13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1049</v>
      </c>
      <c r="B381" s="1">
        <v>45660</v>
      </c>
      <c r="C381" t="s">
        <v>1</v>
      </c>
      <c r="D381" t="s">
        <v>19</v>
      </c>
      <c r="E381" t="s">
        <v>25</v>
      </c>
      <c r="F381" t="s">
        <v>14</v>
      </c>
      <c r="G381" t="s">
        <v>13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1048</v>
      </c>
      <c r="B382" s="1">
        <v>45739</v>
      </c>
      <c r="C382" t="s">
        <v>1</v>
      </c>
      <c r="D382" t="s">
        <v>21</v>
      </c>
      <c r="E382" t="s">
        <v>15</v>
      </c>
      <c r="F382" t="s">
        <v>22</v>
      </c>
      <c r="G382" t="s">
        <v>17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1047</v>
      </c>
      <c r="B383" s="1">
        <v>45804</v>
      </c>
      <c r="C383" t="s">
        <v>1</v>
      </c>
      <c r="D383" t="s">
        <v>19</v>
      </c>
      <c r="E383" t="s">
        <v>15</v>
      </c>
      <c r="F383" t="s">
        <v>27</v>
      </c>
      <c r="G383" t="s">
        <v>29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1046</v>
      </c>
      <c r="B384" s="1">
        <v>45777</v>
      </c>
      <c r="C384" t="s">
        <v>1</v>
      </c>
      <c r="D384" t="s">
        <v>20</v>
      </c>
      <c r="E384" t="s">
        <v>15</v>
      </c>
      <c r="F384" t="s">
        <v>18</v>
      </c>
      <c r="G384" t="s">
        <v>17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1045</v>
      </c>
      <c r="B385" s="1">
        <v>45723</v>
      </c>
      <c r="C385" t="s">
        <v>1</v>
      </c>
      <c r="D385" t="s">
        <v>21</v>
      </c>
      <c r="E385" t="s">
        <v>15</v>
      </c>
      <c r="F385" t="s">
        <v>22</v>
      </c>
      <c r="G385" t="s">
        <v>13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1044</v>
      </c>
      <c r="B386" s="1">
        <v>45787</v>
      </c>
      <c r="C386" t="s">
        <v>1</v>
      </c>
      <c r="D386" t="s">
        <v>19</v>
      </c>
      <c r="E386" t="s">
        <v>15</v>
      </c>
      <c r="F386" t="s">
        <v>18</v>
      </c>
      <c r="G386" t="s">
        <v>13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1043</v>
      </c>
      <c r="B387" s="1">
        <v>45799</v>
      </c>
      <c r="C387" t="s">
        <v>1</v>
      </c>
      <c r="D387" t="s">
        <v>20</v>
      </c>
      <c r="E387" t="s">
        <v>15</v>
      </c>
      <c r="F387" t="s">
        <v>18</v>
      </c>
      <c r="G387" t="s">
        <v>17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1042</v>
      </c>
      <c r="B388" s="1">
        <v>45697</v>
      </c>
      <c r="C388" t="s">
        <v>1</v>
      </c>
      <c r="D388" t="s">
        <v>20</v>
      </c>
      <c r="E388" t="s">
        <v>15</v>
      </c>
      <c r="F388" t="s">
        <v>14</v>
      </c>
      <c r="G388" t="s">
        <v>17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1041</v>
      </c>
      <c r="B389" s="1">
        <v>45807</v>
      </c>
      <c r="C389" t="s">
        <v>1</v>
      </c>
      <c r="D389" t="s">
        <v>21</v>
      </c>
      <c r="E389" t="s">
        <v>25</v>
      </c>
      <c r="F389" t="s">
        <v>18</v>
      </c>
      <c r="G389" t="s">
        <v>29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1040</v>
      </c>
      <c r="B390" s="1">
        <v>45778</v>
      </c>
      <c r="C390" t="s">
        <v>1</v>
      </c>
      <c r="D390" t="s">
        <v>19</v>
      </c>
      <c r="E390" t="s">
        <v>15</v>
      </c>
      <c r="F390" t="s">
        <v>18</v>
      </c>
      <c r="G390" t="s">
        <v>29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1039</v>
      </c>
      <c r="B391" s="1">
        <v>45660</v>
      </c>
      <c r="C391" t="s">
        <v>1</v>
      </c>
      <c r="D391" t="s">
        <v>19</v>
      </c>
      <c r="E391" t="s">
        <v>15</v>
      </c>
      <c r="F391" t="s">
        <v>14</v>
      </c>
      <c r="G391" t="s">
        <v>17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1038</v>
      </c>
      <c r="B392" s="1">
        <v>45701</v>
      </c>
      <c r="C392" t="s">
        <v>1</v>
      </c>
      <c r="D392" t="s">
        <v>20</v>
      </c>
      <c r="E392" t="s">
        <v>15</v>
      </c>
      <c r="F392" t="s">
        <v>18</v>
      </c>
      <c r="G392" t="s">
        <v>17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1037</v>
      </c>
      <c r="B393" s="1">
        <v>45671</v>
      </c>
      <c r="C393" t="s">
        <v>1</v>
      </c>
      <c r="D393" t="s">
        <v>19</v>
      </c>
      <c r="E393" t="s">
        <v>25</v>
      </c>
      <c r="F393" t="s">
        <v>18</v>
      </c>
      <c r="G393" t="s">
        <v>17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1036</v>
      </c>
      <c r="B394" s="1">
        <v>45712</v>
      </c>
      <c r="C394" t="s">
        <v>1</v>
      </c>
      <c r="D394" t="s">
        <v>16</v>
      </c>
      <c r="E394" t="s">
        <v>15</v>
      </c>
      <c r="F394" t="s">
        <v>27</v>
      </c>
      <c r="G394" t="s">
        <v>17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1035</v>
      </c>
      <c r="B395" s="1">
        <v>45793</v>
      </c>
      <c r="C395" t="s">
        <v>1</v>
      </c>
      <c r="D395" t="s">
        <v>21</v>
      </c>
      <c r="E395" t="s">
        <v>25</v>
      </c>
      <c r="F395" t="s">
        <v>18</v>
      </c>
      <c r="G395" t="s">
        <v>13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1034</v>
      </c>
      <c r="B396" s="1">
        <v>45776</v>
      </c>
      <c r="C396" t="s">
        <v>1</v>
      </c>
      <c r="D396" t="s">
        <v>16</v>
      </c>
      <c r="E396" t="s">
        <v>15</v>
      </c>
      <c r="F396" t="s">
        <v>14</v>
      </c>
      <c r="G396" t="s">
        <v>17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1033</v>
      </c>
      <c r="B397" s="1">
        <v>45777</v>
      </c>
      <c r="C397" t="s">
        <v>1</v>
      </c>
      <c r="D397" t="s">
        <v>19</v>
      </c>
      <c r="E397" t="s">
        <v>25</v>
      </c>
      <c r="F397" t="s">
        <v>23</v>
      </c>
      <c r="G397" t="s">
        <v>13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1032</v>
      </c>
      <c r="B398" s="1">
        <v>45666</v>
      </c>
      <c r="C398" t="s">
        <v>1</v>
      </c>
      <c r="D398" t="s">
        <v>19</v>
      </c>
      <c r="E398" t="s">
        <v>25</v>
      </c>
      <c r="F398" t="s">
        <v>18</v>
      </c>
      <c r="G398" t="s">
        <v>17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1031</v>
      </c>
      <c r="B399" s="1">
        <v>45772</v>
      </c>
      <c r="C399" t="s">
        <v>1</v>
      </c>
      <c r="D399" t="s">
        <v>19</v>
      </c>
      <c r="E399" t="s">
        <v>15</v>
      </c>
      <c r="F399" t="s">
        <v>18</v>
      </c>
      <c r="G399" t="s">
        <v>17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1030</v>
      </c>
      <c r="B400" s="1">
        <v>45728</v>
      </c>
      <c r="C400" t="s">
        <v>1</v>
      </c>
      <c r="D400" t="s">
        <v>16</v>
      </c>
      <c r="E400" t="s">
        <v>25</v>
      </c>
      <c r="F400" t="s">
        <v>14</v>
      </c>
      <c r="G400" t="s">
        <v>17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1029</v>
      </c>
      <c r="B401" s="1">
        <v>45736</v>
      </c>
      <c r="C401" t="s">
        <v>1</v>
      </c>
      <c r="D401" t="s">
        <v>16</v>
      </c>
      <c r="E401" t="s">
        <v>15</v>
      </c>
      <c r="F401" t="s">
        <v>18</v>
      </c>
      <c r="G401" t="s">
        <v>17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1028</v>
      </c>
      <c r="B402" s="1">
        <v>45706</v>
      </c>
      <c r="C402" t="s">
        <v>1</v>
      </c>
      <c r="D402" t="s">
        <v>21</v>
      </c>
      <c r="E402" t="s">
        <v>15</v>
      </c>
      <c r="F402" t="s">
        <v>14</v>
      </c>
      <c r="G402" t="s">
        <v>17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1027</v>
      </c>
      <c r="B403" s="1">
        <v>45679</v>
      </c>
      <c r="C403" t="s">
        <v>1</v>
      </c>
      <c r="D403" t="s">
        <v>16</v>
      </c>
      <c r="E403" t="s">
        <v>15</v>
      </c>
      <c r="F403" t="s">
        <v>22</v>
      </c>
      <c r="G403" t="s">
        <v>13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1026</v>
      </c>
      <c r="B404" s="1">
        <v>45696</v>
      </c>
      <c r="C404" t="s">
        <v>1</v>
      </c>
      <c r="D404" t="s">
        <v>21</v>
      </c>
      <c r="E404" t="s">
        <v>15</v>
      </c>
      <c r="F404" t="s">
        <v>23</v>
      </c>
      <c r="G404" t="s">
        <v>13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1025</v>
      </c>
      <c r="B405" s="1">
        <v>45677</v>
      </c>
      <c r="C405" t="s">
        <v>1</v>
      </c>
      <c r="D405" t="s">
        <v>16</v>
      </c>
      <c r="E405" t="s">
        <v>15</v>
      </c>
      <c r="F405" t="s">
        <v>23</v>
      </c>
      <c r="G405" t="s">
        <v>29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1024</v>
      </c>
      <c r="B406" s="1">
        <v>45769</v>
      </c>
      <c r="C406" t="s">
        <v>1</v>
      </c>
      <c r="D406" t="s">
        <v>21</v>
      </c>
      <c r="E406" t="s">
        <v>25</v>
      </c>
      <c r="F406" t="s">
        <v>27</v>
      </c>
      <c r="G406" t="s">
        <v>17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1023</v>
      </c>
      <c r="B407" s="1">
        <v>45679</v>
      </c>
      <c r="C407" t="s">
        <v>1</v>
      </c>
      <c r="D407" t="s">
        <v>20</v>
      </c>
      <c r="E407" t="s">
        <v>15</v>
      </c>
      <c r="F407" t="s">
        <v>18</v>
      </c>
      <c r="G407" t="s">
        <v>13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1022</v>
      </c>
      <c r="B408" s="1">
        <v>45788</v>
      </c>
      <c r="C408" t="s">
        <v>1</v>
      </c>
      <c r="D408" t="s">
        <v>21</v>
      </c>
      <c r="E408" t="s">
        <v>15</v>
      </c>
      <c r="F408" t="s">
        <v>18</v>
      </c>
      <c r="G408" t="s">
        <v>13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1021</v>
      </c>
      <c r="B409" s="1">
        <v>45694</v>
      </c>
      <c r="C409" t="s">
        <v>1</v>
      </c>
      <c r="D409" t="s">
        <v>19</v>
      </c>
      <c r="E409" t="s">
        <v>15</v>
      </c>
      <c r="F409" t="s">
        <v>18</v>
      </c>
      <c r="G409" t="s">
        <v>13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1020</v>
      </c>
      <c r="B410" s="1">
        <v>45709</v>
      </c>
      <c r="C410" t="s">
        <v>1</v>
      </c>
      <c r="D410" t="s">
        <v>16</v>
      </c>
      <c r="E410" t="s">
        <v>25</v>
      </c>
      <c r="F410" t="s">
        <v>18</v>
      </c>
      <c r="G410" t="s">
        <v>29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1019</v>
      </c>
      <c r="B411" s="1">
        <v>45670</v>
      </c>
      <c r="C411" t="s">
        <v>1</v>
      </c>
      <c r="D411" t="s">
        <v>21</v>
      </c>
      <c r="E411" t="s">
        <v>15</v>
      </c>
      <c r="F411" t="s">
        <v>23</v>
      </c>
      <c r="G411" t="s">
        <v>29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1018</v>
      </c>
      <c r="B412" s="1">
        <v>45723</v>
      </c>
      <c r="C412" t="s">
        <v>1</v>
      </c>
      <c r="D412" t="s">
        <v>16</v>
      </c>
      <c r="E412" t="s">
        <v>15</v>
      </c>
      <c r="F412" t="s">
        <v>27</v>
      </c>
      <c r="G412" t="s">
        <v>29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1017</v>
      </c>
      <c r="B413" s="1">
        <v>45714</v>
      </c>
      <c r="C413" t="s">
        <v>1</v>
      </c>
      <c r="D413" t="s">
        <v>21</v>
      </c>
      <c r="E413" t="s">
        <v>25</v>
      </c>
      <c r="F413" t="s">
        <v>18</v>
      </c>
      <c r="G413" t="s">
        <v>13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1016</v>
      </c>
      <c r="B414" s="1">
        <v>45782</v>
      </c>
      <c r="C414" t="s">
        <v>1</v>
      </c>
      <c r="D414" t="s">
        <v>16</v>
      </c>
      <c r="E414" t="s">
        <v>15</v>
      </c>
      <c r="F414" t="s">
        <v>27</v>
      </c>
      <c r="G414" t="s">
        <v>29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1015</v>
      </c>
      <c r="B415" s="1">
        <v>45665</v>
      </c>
      <c r="C415" t="s">
        <v>1</v>
      </c>
      <c r="D415" t="s">
        <v>20</v>
      </c>
      <c r="E415" t="s">
        <v>25</v>
      </c>
      <c r="F415" t="s">
        <v>18</v>
      </c>
      <c r="G415" t="s">
        <v>13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1014</v>
      </c>
      <c r="B416" s="1">
        <v>45735</v>
      </c>
      <c r="C416" t="s">
        <v>1</v>
      </c>
      <c r="D416" t="s">
        <v>19</v>
      </c>
      <c r="E416" t="s">
        <v>15</v>
      </c>
      <c r="F416" t="s">
        <v>23</v>
      </c>
      <c r="G416" t="s">
        <v>29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1013</v>
      </c>
      <c r="B417" s="1">
        <v>45687</v>
      </c>
      <c r="C417" t="s">
        <v>1</v>
      </c>
      <c r="D417" t="s">
        <v>20</v>
      </c>
      <c r="E417" t="s">
        <v>25</v>
      </c>
      <c r="F417" t="s">
        <v>14</v>
      </c>
      <c r="G417" t="s">
        <v>17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1012</v>
      </c>
      <c r="B418" s="1">
        <v>45775</v>
      </c>
      <c r="C418" t="s">
        <v>1</v>
      </c>
      <c r="D418" t="s">
        <v>20</v>
      </c>
      <c r="E418" t="s">
        <v>15</v>
      </c>
      <c r="F418" t="s">
        <v>18</v>
      </c>
      <c r="G418" t="s">
        <v>13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1011</v>
      </c>
      <c r="B419" s="1">
        <v>45723</v>
      </c>
      <c r="C419" t="s">
        <v>1</v>
      </c>
      <c r="D419" t="s">
        <v>16</v>
      </c>
      <c r="E419" t="s">
        <v>15</v>
      </c>
      <c r="F419" t="s">
        <v>27</v>
      </c>
      <c r="G419" t="s">
        <v>13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1010</v>
      </c>
      <c r="B420" s="1">
        <v>45754</v>
      </c>
      <c r="C420" t="s">
        <v>1</v>
      </c>
      <c r="D420" t="s">
        <v>16</v>
      </c>
      <c r="E420" t="s">
        <v>25</v>
      </c>
      <c r="F420" t="s">
        <v>18</v>
      </c>
      <c r="G420" t="s">
        <v>17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1009</v>
      </c>
      <c r="B421" s="1">
        <v>45785</v>
      </c>
      <c r="C421" t="s">
        <v>1</v>
      </c>
      <c r="D421" t="s">
        <v>16</v>
      </c>
      <c r="E421" t="s">
        <v>25</v>
      </c>
      <c r="F421" t="s">
        <v>18</v>
      </c>
      <c r="G421" t="s">
        <v>29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1008</v>
      </c>
      <c r="B422" s="1">
        <v>45762</v>
      </c>
      <c r="C422" t="s">
        <v>1</v>
      </c>
      <c r="D422" t="s">
        <v>19</v>
      </c>
      <c r="E422" t="s">
        <v>15</v>
      </c>
      <c r="F422" t="s">
        <v>23</v>
      </c>
      <c r="G422" t="s">
        <v>17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1007</v>
      </c>
      <c r="B423" s="1">
        <v>45767</v>
      </c>
      <c r="C423" t="s">
        <v>1</v>
      </c>
      <c r="D423" t="s">
        <v>20</v>
      </c>
      <c r="E423" t="s">
        <v>25</v>
      </c>
      <c r="F423" t="s">
        <v>22</v>
      </c>
      <c r="G423" t="s">
        <v>17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1006</v>
      </c>
      <c r="B424" s="1">
        <v>45807</v>
      </c>
      <c r="C424" t="s">
        <v>1</v>
      </c>
      <c r="D424" t="s">
        <v>19</v>
      </c>
      <c r="E424" t="s">
        <v>24</v>
      </c>
      <c r="F424" t="s">
        <v>18</v>
      </c>
      <c r="G424" t="s">
        <v>17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1005</v>
      </c>
      <c r="B425" s="1">
        <v>45701</v>
      </c>
      <c r="C425" t="s">
        <v>1</v>
      </c>
      <c r="D425" t="s">
        <v>21</v>
      </c>
      <c r="E425" t="s">
        <v>15</v>
      </c>
      <c r="F425" t="s">
        <v>27</v>
      </c>
      <c r="G425" t="s">
        <v>17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1004</v>
      </c>
      <c r="B426" s="1">
        <v>45775</v>
      </c>
      <c r="C426" t="s">
        <v>1</v>
      </c>
      <c r="D426" t="s">
        <v>21</v>
      </c>
      <c r="E426" t="s">
        <v>15</v>
      </c>
      <c r="F426" t="s">
        <v>22</v>
      </c>
      <c r="G426" t="s">
        <v>17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1003</v>
      </c>
      <c r="B427" s="1">
        <v>45700</v>
      </c>
      <c r="C427" t="s">
        <v>1</v>
      </c>
      <c r="D427" t="s">
        <v>16</v>
      </c>
      <c r="E427" t="s">
        <v>15</v>
      </c>
      <c r="F427" t="s">
        <v>14</v>
      </c>
      <c r="G427" t="s">
        <v>13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1002</v>
      </c>
      <c r="B428" s="1">
        <v>45700</v>
      </c>
      <c r="C428" t="s">
        <v>1</v>
      </c>
      <c r="D428" t="s">
        <v>20</v>
      </c>
      <c r="E428" t="s">
        <v>15</v>
      </c>
      <c r="F428" t="s">
        <v>18</v>
      </c>
      <c r="G428" t="s">
        <v>17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1001</v>
      </c>
      <c r="B429" s="1">
        <v>45743</v>
      </c>
      <c r="C429" t="s">
        <v>1</v>
      </c>
      <c r="D429" t="s">
        <v>16</v>
      </c>
      <c r="E429" t="s">
        <v>15</v>
      </c>
      <c r="F429" t="s">
        <v>23</v>
      </c>
      <c r="G429" t="s">
        <v>29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1000</v>
      </c>
      <c r="B430" s="1">
        <v>45759</v>
      </c>
      <c r="C430" t="s">
        <v>1</v>
      </c>
      <c r="D430" t="s">
        <v>19</v>
      </c>
      <c r="E430" t="s">
        <v>25</v>
      </c>
      <c r="F430" t="s">
        <v>18</v>
      </c>
      <c r="G430" t="s">
        <v>17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999</v>
      </c>
      <c r="B431" s="1">
        <v>45687</v>
      </c>
      <c r="C431" t="s">
        <v>1</v>
      </c>
      <c r="D431" t="s">
        <v>21</v>
      </c>
      <c r="E431" t="s">
        <v>15</v>
      </c>
      <c r="F431" t="s">
        <v>22</v>
      </c>
      <c r="G431" t="s">
        <v>17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998</v>
      </c>
      <c r="B432" s="1">
        <v>45805</v>
      </c>
      <c r="C432" t="s">
        <v>1</v>
      </c>
      <c r="D432" t="s">
        <v>21</v>
      </c>
      <c r="E432" t="s">
        <v>15</v>
      </c>
      <c r="F432" t="s">
        <v>22</v>
      </c>
      <c r="G432" t="s">
        <v>29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997</v>
      </c>
      <c r="B433" s="1">
        <v>45778</v>
      </c>
      <c r="C433" t="s">
        <v>1</v>
      </c>
      <c r="D433" t="s">
        <v>19</v>
      </c>
      <c r="E433" t="s">
        <v>15</v>
      </c>
      <c r="F433" t="s">
        <v>18</v>
      </c>
      <c r="G433" t="s">
        <v>13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996</v>
      </c>
      <c r="B434" s="1">
        <v>45691</v>
      </c>
      <c r="C434" t="s">
        <v>1</v>
      </c>
      <c r="D434" t="s">
        <v>16</v>
      </c>
      <c r="E434" t="s">
        <v>24</v>
      </c>
      <c r="F434" t="s">
        <v>23</v>
      </c>
      <c r="G434" t="s">
        <v>13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995</v>
      </c>
      <c r="B435" s="1">
        <v>45667</v>
      </c>
      <c r="C435" t="s">
        <v>1</v>
      </c>
      <c r="D435" t="s">
        <v>19</v>
      </c>
      <c r="E435" t="s">
        <v>25</v>
      </c>
      <c r="F435" t="s">
        <v>22</v>
      </c>
      <c r="G435" t="s">
        <v>13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994</v>
      </c>
      <c r="B436" s="1">
        <v>45779</v>
      </c>
      <c r="C436" t="s">
        <v>1</v>
      </c>
      <c r="D436" t="s">
        <v>16</v>
      </c>
      <c r="E436" t="s">
        <v>25</v>
      </c>
      <c r="F436" t="s">
        <v>18</v>
      </c>
      <c r="G436" t="s">
        <v>13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993</v>
      </c>
      <c r="B437" s="1">
        <v>45803</v>
      </c>
      <c r="C437" t="s">
        <v>1</v>
      </c>
      <c r="D437" t="s">
        <v>16</v>
      </c>
      <c r="E437" t="s">
        <v>25</v>
      </c>
      <c r="F437" t="s">
        <v>18</v>
      </c>
      <c r="G437" t="s">
        <v>13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992</v>
      </c>
      <c r="B438" s="1">
        <v>45669</v>
      </c>
      <c r="C438" t="s">
        <v>1</v>
      </c>
      <c r="D438" t="s">
        <v>21</v>
      </c>
      <c r="E438" t="s">
        <v>15</v>
      </c>
      <c r="F438" t="s">
        <v>18</v>
      </c>
      <c r="G438" t="s">
        <v>13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991</v>
      </c>
      <c r="B439" s="1">
        <v>45804</v>
      </c>
      <c r="C439" t="s">
        <v>1</v>
      </c>
      <c r="D439" t="s">
        <v>20</v>
      </c>
      <c r="E439" t="s">
        <v>15</v>
      </c>
      <c r="F439" t="s">
        <v>14</v>
      </c>
      <c r="G439" t="s">
        <v>13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990</v>
      </c>
      <c r="B440" s="1">
        <v>45799</v>
      </c>
      <c r="C440" t="s">
        <v>1</v>
      </c>
      <c r="D440" t="s">
        <v>21</v>
      </c>
      <c r="E440" t="s">
        <v>25</v>
      </c>
      <c r="F440" t="s">
        <v>23</v>
      </c>
      <c r="G440" t="s">
        <v>13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989</v>
      </c>
      <c r="B441" s="1">
        <v>45748</v>
      </c>
      <c r="C441" t="s">
        <v>1</v>
      </c>
      <c r="D441" t="s">
        <v>20</v>
      </c>
      <c r="E441" t="s">
        <v>15</v>
      </c>
      <c r="F441" t="s">
        <v>22</v>
      </c>
      <c r="G441" t="s">
        <v>29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988</v>
      </c>
      <c r="B442" s="1">
        <v>45679</v>
      </c>
      <c r="C442" t="s">
        <v>1</v>
      </c>
      <c r="D442" t="s">
        <v>16</v>
      </c>
      <c r="E442" t="s">
        <v>15</v>
      </c>
      <c r="F442" t="s">
        <v>14</v>
      </c>
      <c r="G442" t="s">
        <v>13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987</v>
      </c>
      <c r="B443" s="1">
        <v>45801</v>
      </c>
      <c r="C443" t="s">
        <v>1</v>
      </c>
      <c r="D443" t="s">
        <v>20</v>
      </c>
      <c r="E443" t="s">
        <v>15</v>
      </c>
      <c r="F443" t="s">
        <v>14</v>
      </c>
      <c r="G443" t="s">
        <v>13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986</v>
      </c>
      <c r="B444" s="1">
        <v>45772</v>
      </c>
      <c r="C444" t="s">
        <v>1</v>
      </c>
      <c r="D444" t="s">
        <v>19</v>
      </c>
      <c r="E444" t="s">
        <v>15</v>
      </c>
      <c r="F444" t="s">
        <v>22</v>
      </c>
      <c r="G444" t="s">
        <v>17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985</v>
      </c>
      <c r="B445" s="1">
        <v>45759</v>
      </c>
      <c r="C445" t="s">
        <v>1</v>
      </c>
      <c r="D445" t="s">
        <v>21</v>
      </c>
      <c r="E445" t="s">
        <v>25</v>
      </c>
      <c r="F445" t="s">
        <v>27</v>
      </c>
      <c r="G445" t="s">
        <v>17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984</v>
      </c>
      <c r="B446" s="1">
        <v>45770</v>
      </c>
      <c r="C446" t="s">
        <v>1</v>
      </c>
      <c r="D446" t="s">
        <v>19</v>
      </c>
      <c r="E446" t="s">
        <v>15</v>
      </c>
      <c r="F446" t="s">
        <v>18</v>
      </c>
      <c r="G446" t="s">
        <v>29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983</v>
      </c>
      <c r="B447" s="1">
        <v>45746</v>
      </c>
      <c r="C447" t="s">
        <v>1</v>
      </c>
      <c r="D447" t="s">
        <v>16</v>
      </c>
      <c r="E447" t="s">
        <v>25</v>
      </c>
      <c r="F447" t="s">
        <v>27</v>
      </c>
      <c r="G447" t="s">
        <v>17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982</v>
      </c>
      <c r="B448" s="1">
        <v>45675</v>
      </c>
      <c r="C448" t="s">
        <v>1</v>
      </c>
      <c r="D448" t="s">
        <v>20</v>
      </c>
      <c r="E448" t="s">
        <v>15</v>
      </c>
      <c r="F448" t="s">
        <v>27</v>
      </c>
      <c r="G448" t="s">
        <v>13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981</v>
      </c>
      <c r="B449" s="1">
        <v>45756</v>
      </c>
      <c r="C449" t="s">
        <v>1</v>
      </c>
      <c r="D449" t="s">
        <v>20</v>
      </c>
      <c r="E449" t="s">
        <v>15</v>
      </c>
      <c r="F449" t="s">
        <v>18</v>
      </c>
      <c r="G449" t="s">
        <v>17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980</v>
      </c>
      <c r="B450" s="1">
        <v>45668</v>
      </c>
      <c r="C450" t="s">
        <v>1</v>
      </c>
      <c r="D450" t="s">
        <v>21</v>
      </c>
      <c r="E450" t="s">
        <v>15</v>
      </c>
      <c r="F450" t="s">
        <v>18</v>
      </c>
      <c r="G450" t="s">
        <v>17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979</v>
      </c>
      <c r="B451" s="1">
        <v>45721</v>
      </c>
      <c r="C451" t="s">
        <v>1</v>
      </c>
      <c r="D451" t="s">
        <v>20</v>
      </c>
      <c r="E451" t="s">
        <v>15</v>
      </c>
      <c r="F451" t="s">
        <v>14</v>
      </c>
      <c r="G451" t="s">
        <v>17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978</v>
      </c>
      <c r="B452" s="1">
        <v>45705</v>
      </c>
      <c r="C452" t="s">
        <v>1</v>
      </c>
      <c r="D452" t="s">
        <v>16</v>
      </c>
      <c r="E452" t="s">
        <v>24</v>
      </c>
      <c r="F452" t="s">
        <v>22</v>
      </c>
      <c r="G452" t="s">
        <v>17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977</v>
      </c>
      <c r="B453" s="1">
        <v>45784</v>
      </c>
      <c r="C453" t="s">
        <v>1</v>
      </c>
      <c r="D453" t="s">
        <v>16</v>
      </c>
      <c r="E453" t="s">
        <v>25</v>
      </c>
      <c r="F453" t="s">
        <v>14</v>
      </c>
      <c r="G453" t="s">
        <v>17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976</v>
      </c>
      <c r="B454" s="1">
        <v>45757</v>
      </c>
      <c r="C454" t="s">
        <v>1</v>
      </c>
      <c r="D454" t="s">
        <v>20</v>
      </c>
      <c r="E454" t="s">
        <v>15</v>
      </c>
      <c r="F454" t="s">
        <v>14</v>
      </c>
      <c r="G454" t="s">
        <v>29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975</v>
      </c>
      <c r="B455" s="1">
        <v>45768</v>
      </c>
      <c r="C455" t="s">
        <v>1</v>
      </c>
      <c r="D455" t="s">
        <v>16</v>
      </c>
      <c r="E455" t="s">
        <v>15</v>
      </c>
      <c r="F455" t="s">
        <v>22</v>
      </c>
      <c r="G455" t="s">
        <v>17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974</v>
      </c>
      <c r="B456" s="1">
        <v>45713</v>
      </c>
      <c r="C456" t="s">
        <v>1</v>
      </c>
      <c r="D456" t="s">
        <v>19</v>
      </c>
      <c r="E456" t="s">
        <v>24</v>
      </c>
      <c r="F456" t="s">
        <v>32</v>
      </c>
      <c r="G456" t="s">
        <v>17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973</v>
      </c>
      <c r="B457" s="1">
        <v>45791</v>
      </c>
      <c r="C457" t="s">
        <v>1</v>
      </c>
      <c r="D457" t="s">
        <v>20</v>
      </c>
      <c r="E457" t="s">
        <v>25</v>
      </c>
      <c r="F457" t="s">
        <v>18</v>
      </c>
      <c r="G457" t="s">
        <v>17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972</v>
      </c>
      <c r="B458" s="1">
        <v>45726</v>
      </c>
      <c r="C458" t="s">
        <v>1</v>
      </c>
      <c r="D458" t="s">
        <v>16</v>
      </c>
      <c r="E458" t="s">
        <v>15</v>
      </c>
      <c r="F458" t="s">
        <v>23</v>
      </c>
      <c r="G458" t="s">
        <v>13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971</v>
      </c>
      <c r="B459" s="1">
        <v>45688</v>
      </c>
      <c r="C459" t="s">
        <v>1</v>
      </c>
      <c r="D459" t="s">
        <v>21</v>
      </c>
      <c r="E459" t="s">
        <v>25</v>
      </c>
      <c r="F459" t="s">
        <v>18</v>
      </c>
      <c r="G459" t="s">
        <v>29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970</v>
      </c>
      <c r="B460" s="1">
        <v>45674</v>
      </c>
      <c r="C460" t="s">
        <v>1</v>
      </c>
      <c r="D460" t="s">
        <v>19</v>
      </c>
      <c r="E460" t="s">
        <v>15</v>
      </c>
      <c r="F460" t="s">
        <v>18</v>
      </c>
      <c r="G460" t="s">
        <v>29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969</v>
      </c>
      <c r="B461" s="1">
        <v>45728</v>
      </c>
      <c r="C461" t="s">
        <v>1</v>
      </c>
      <c r="D461" t="s">
        <v>19</v>
      </c>
      <c r="E461" t="s">
        <v>15</v>
      </c>
      <c r="F461" t="s">
        <v>14</v>
      </c>
      <c r="G461" t="s">
        <v>17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968</v>
      </c>
      <c r="B462" s="1">
        <v>45716</v>
      </c>
      <c r="C462" t="s">
        <v>1</v>
      </c>
      <c r="D462" t="s">
        <v>21</v>
      </c>
      <c r="E462" t="s">
        <v>25</v>
      </c>
      <c r="F462" t="s">
        <v>18</v>
      </c>
      <c r="G462" t="s">
        <v>29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967</v>
      </c>
      <c r="B463" s="1">
        <v>45796</v>
      </c>
      <c r="C463" t="s">
        <v>1</v>
      </c>
      <c r="D463" t="s">
        <v>16</v>
      </c>
      <c r="E463" t="s">
        <v>32</v>
      </c>
      <c r="F463" t="s">
        <v>18</v>
      </c>
      <c r="G463" t="s">
        <v>13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966</v>
      </c>
      <c r="B464" s="1">
        <v>45711</v>
      </c>
      <c r="C464" t="s">
        <v>1</v>
      </c>
      <c r="D464" t="s">
        <v>16</v>
      </c>
      <c r="E464" t="s">
        <v>15</v>
      </c>
      <c r="F464" t="s">
        <v>27</v>
      </c>
      <c r="G464" t="s">
        <v>13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965</v>
      </c>
      <c r="B465" s="1">
        <v>45708</v>
      </c>
      <c r="C465" t="s">
        <v>1</v>
      </c>
      <c r="D465" t="s">
        <v>21</v>
      </c>
      <c r="E465" t="s">
        <v>25</v>
      </c>
      <c r="F465" t="s">
        <v>18</v>
      </c>
      <c r="G465" t="s">
        <v>17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964</v>
      </c>
      <c r="B466" s="1">
        <v>45759</v>
      </c>
      <c r="C466" t="s">
        <v>1</v>
      </c>
      <c r="D466" t="s">
        <v>16</v>
      </c>
      <c r="E466" t="s">
        <v>15</v>
      </c>
      <c r="F466" t="s">
        <v>32</v>
      </c>
      <c r="G466" t="s">
        <v>17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963</v>
      </c>
      <c r="B467" s="1">
        <v>45665</v>
      </c>
      <c r="C467" t="s">
        <v>1</v>
      </c>
      <c r="D467" t="s">
        <v>21</v>
      </c>
      <c r="E467" t="s">
        <v>15</v>
      </c>
      <c r="F467" t="s">
        <v>23</v>
      </c>
      <c r="G467" t="s">
        <v>17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962</v>
      </c>
      <c r="B468" s="1">
        <v>45701</v>
      </c>
      <c r="C468" t="s">
        <v>1</v>
      </c>
      <c r="D468" t="s">
        <v>21</v>
      </c>
      <c r="E468" t="s">
        <v>15</v>
      </c>
      <c r="F468" t="s">
        <v>18</v>
      </c>
      <c r="G468" t="s">
        <v>13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961</v>
      </c>
      <c r="B469" s="1">
        <v>45798</v>
      </c>
      <c r="C469" t="s">
        <v>1</v>
      </c>
      <c r="D469" t="s">
        <v>20</v>
      </c>
      <c r="E469" t="s">
        <v>25</v>
      </c>
      <c r="F469" t="s">
        <v>23</v>
      </c>
      <c r="G469" t="s">
        <v>17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960</v>
      </c>
      <c r="B470" s="1">
        <v>45807</v>
      </c>
      <c r="C470" t="s">
        <v>1</v>
      </c>
      <c r="D470" t="s">
        <v>16</v>
      </c>
      <c r="E470" t="s">
        <v>15</v>
      </c>
      <c r="F470" t="s">
        <v>18</v>
      </c>
      <c r="G470" t="s">
        <v>13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959</v>
      </c>
      <c r="B471" s="1">
        <v>45797</v>
      </c>
      <c r="C471" t="s">
        <v>1</v>
      </c>
      <c r="D471" t="s">
        <v>21</v>
      </c>
      <c r="E471" t="s">
        <v>15</v>
      </c>
      <c r="F471" t="s">
        <v>14</v>
      </c>
      <c r="G471" t="s">
        <v>17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958</v>
      </c>
      <c r="B472" s="1">
        <v>45666</v>
      </c>
      <c r="C472" t="s">
        <v>1</v>
      </c>
      <c r="D472" t="s">
        <v>20</v>
      </c>
      <c r="E472" t="s">
        <v>25</v>
      </c>
      <c r="F472" t="s">
        <v>18</v>
      </c>
      <c r="G472" t="s">
        <v>17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957</v>
      </c>
      <c r="B473" s="1">
        <v>45723</v>
      </c>
      <c r="C473" t="s">
        <v>1</v>
      </c>
      <c r="D473" t="s">
        <v>21</v>
      </c>
      <c r="E473" t="s">
        <v>15</v>
      </c>
      <c r="F473" t="s">
        <v>18</v>
      </c>
      <c r="G473" t="s">
        <v>17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956</v>
      </c>
      <c r="B474" s="1">
        <v>45770</v>
      </c>
      <c r="C474" t="s">
        <v>1</v>
      </c>
      <c r="D474" t="s">
        <v>19</v>
      </c>
      <c r="E474" t="s">
        <v>15</v>
      </c>
      <c r="F474" t="s">
        <v>22</v>
      </c>
      <c r="G474" t="s">
        <v>17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955</v>
      </c>
      <c r="B475" s="1">
        <v>45724</v>
      </c>
      <c r="C475" t="s">
        <v>1</v>
      </c>
      <c r="D475" t="s">
        <v>20</v>
      </c>
      <c r="E475" t="s">
        <v>15</v>
      </c>
      <c r="F475" t="s">
        <v>18</v>
      </c>
      <c r="G475" t="s">
        <v>13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954</v>
      </c>
      <c r="B476" s="1">
        <v>45702</v>
      </c>
      <c r="C476" t="s">
        <v>1</v>
      </c>
      <c r="D476" t="s">
        <v>19</v>
      </c>
      <c r="E476" t="s">
        <v>15</v>
      </c>
      <c r="F476" t="s">
        <v>27</v>
      </c>
      <c r="G476" t="s">
        <v>17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953</v>
      </c>
      <c r="B477" s="1">
        <v>45794</v>
      </c>
      <c r="C477" t="s">
        <v>1</v>
      </c>
      <c r="D477" t="s">
        <v>21</v>
      </c>
      <c r="E477" t="s">
        <v>15</v>
      </c>
      <c r="F477" t="s">
        <v>27</v>
      </c>
      <c r="G477" t="s">
        <v>13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952</v>
      </c>
      <c r="B478" s="1">
        <v>45772</v>
      </c>
      <c r="C478" t="s">
        <v>1</v>
      </c>
      <c r="D478" t="s">
        <v>19</v>
      </c>
      <c r="E478" t="s">
        <v>15</v>
      </c>
      <c r="F478" t="s">
        <v>27</v>
      </c>
      <c r="G478" t="s">
        <v>17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951</v>
      </c>
      <c r="B479" s="1">
        <v>45720</v>
      </c>
      <c r="C479" t="s">
        <v>1</v>
      </c>
      <c r="D479" t="s">
        <v>19</v>
      </c>
      <c r="E479" t="s">
        <v>25</v>
      </c>
      <c r="F479" t="s">
        <v>22</v>
      </c>
      <c r="G479" t="s">
        <v>13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950</v>
      </c>
      <c r="B480" s="1">
        <v>45734</v>
      </c>
      <c r="C480" t="s">
        <v>1</v>
      </c>
      <c r="D480" t="s">
        <v>19</v>
      </c>
      <c r="E480" t="s">
        <v>15</v>
      </c>
      <c r="F480" t="s">
        <v>18</v>
      </c>
      <c r="G480" t="s">
        <v>17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949</v>
      </c>
      <c r="B481" s="1">
        <v>45687</v>
      </c>
      <c r="C481" t="s">
        <v>1</v>
      </c>
      <c r="D481" t="s">
        <v>21</v>
      </c>
      <c r="E481" t="s">
        <v>15</v>
      </c>
      <c r="F481" t="s">
        <v>14</v>
      </c>
      <c r="G481" t="s">
        <v>29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948</v>
      </c>
      <c r="B482" s="1">
        <v>45797</v>
      </c>
      <c r="C482" t="s">
        <v>1</v>
      </c>
      <c r="D482" t="s">
        <v>21</v>
      </c>
      <c r="E482" t="s">
        <v>24</v>
      </c>
      <c r="F482" t="s">
        <v>27</v>
      </c>
      <c r="G482" t="s">
        <v>17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947</v>
      </c>
      <c r="B483" s="1">
        <v>45701</v>
      </c>
      <c r="C483" t="s">
        <v>1</v>
      </c>
      <c r="D483" t="s">
        <v>16</v>
      </c>
      <c r="E483" t="s">
        <v>32</v>
      </c>
      <c r="F483" t="s">
        <v>18</v>
      </c>
      <c r="G483" t="s">
        <v>13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946</v>
      </c>
      <c r="B484" s="1">
        <v>45759</v>
      </c>
      <c r="C484" t="s">
        <v>1</v>
      </c>
      <c r="D484" t="s">
        <v>21</v>
      </c>
      <c r="E484" t="s">
        <v>25</v>
      </c>
      <c r="F484" t="s">
        <v>18</v>
      </c>
      <c r="G484" t="s">
        <v>13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945</v>
      </c>
      <c r="B485" s="1">
        <v>45754</v>
      </c>
      <c r="C485" t="s">
        <v>1</v>
      </c>
      <c r="D485" t="s">
        <v>16</v>
      </c>
      <c r="E485" t="s">
        <v>15</v>
      </c>
      <c r="F485" t="s">
        <v>23</v>
      </c>
      <c r="G485" t="s">
        <v>17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944</v>
      </c>
      <c r="B486" s="1">
        <v>45728</v>
      </c>
      <c r="C486" t="s">
        <v>1</v>
      </c>
      <c r="D486" t="s">
        <v>16</v>
      </c>
      <c r="E486" t="s">
        <v>25</v>
      </c>
      <c r="F486" t="s">
        <v>22</v>
      </c>
      <c r="G486" t="s">
        <v>17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943</v>
      </c>
      <c r="B487" s="1">
        <v>45695</v>
      </c>
      <c r="C487" t="s">
        <v>1</v>
      </c>
      <c r="D487" t="s">
        <v>21</v>
      </c>
      <c r="E487" t="s">
        <v>15</v>
      </c>
      <c r="F487" t="s">
        <v>18</v>
      </c>
      <c r="G487" t="s">
        <v>17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942</v>
      </c>
      <c r="B488" s="1">
        <v>45782</v>
      </c>
      <c r="C488" t="s">
        <v>1</v>
      </c>
      <c r="D488" t="s">
        <v>16</v>
      </c>
      <c r="E488" t="s">
        <v>15</v>
      </c>
      <c r="F488" t="s">
        <v>18</v>
      </c>
      <c r="G488" t="s">
        <v>29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941</v>
      </c>
      <c r="B489" s="1">
        <v>45734</v>
      </c>
      <c r="C489" t="s">
        <v>1</v>
      </c>
      <c r="D489" t="s">
        <v>19</v>
      </c>
      <c r="E489" t="s">
        <v>15</v>
      </c>
      <c r="F489" t="s">
        <v>27</v>
      </c>
      <c r="G489" t="s">
        <v>17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940</v>
      </c>
      <c r="B490" s="1">
        <v>45662</v>
      </c>
      <c r="C490" t="s">
        <v>1</v>
      </c>
      <c r="D490" t="s">
        <v>19</v>
      </c>
      <c r="E490" t="s">
        <v>15</v>
      </c>
      <c r="F490" t="s">
        <v>14</v>
      </c>
      <c r="G490" t="s">
        <v>13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939</v>
      </c>
      <c r="B491" s="1">
        <v>45787</v>
      </c>
      <c r="C491" t="s">
        <v>1</v>
      </c>
      <c r="D491" t="s">
        <v>19</v>
      </c>
      <c r="E491" t="s">
        <v>25</v>
      </c>
      <c r="F491" t="s">
        <v>27</v>
      </c>
      <c r="G491" t="s">
        <v>13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938</v>
      </c>
      <c r="B492" s="1">
        <v>45660</v>
      </c>
      <c r="C492" t="s">
        <v>1</v>
      </c>
      <c r="D492" t="s">
        <v>19</v>
      </c>
      <c r="E492" t="s">
        <v>15</v>
      </c>
      <c r="F492" t="s">
        <v>22</v>
      </c>
      <c r="G492" t="s">
        <v>13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937</v>
      </c>
      <c r="B493" s="1">
        <v>45785</v>
      </c>
      <c r="C493" t="s">
        <v>1</v>
      </c>
      <c r="D493" t="s">
        <v>19</v>
      </c>
      <c r="E493" t="s">
        <v>15</v>
      </c>
      <c r="F493" t="s">
        <v>14</v>
      </c>
      <c r="G493" t="s">
        <v>17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936</v>
      </c>
      <c r="B494" s="1">
        <v>45721</v>
      </c>
      <c r="C494" t="s">
        <v>1</v>
      </c>
      <c r="D494" t="s">
        <v>19</v>
      </c>
      <c r="E494" t="s">
        <v>25</v>
      </c>
      <c r="F494" t="s">
        <v>23</v>
      </c>
      <c r="G494" t="s">
        <v>13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935</v>
      </c>
      <c r="B495" s="1">
        <v>45705</v>
      </c>
      <c r="C495" t="s">
        <v>1</v>
      </c>
      <c r="D495" t="s">
        <v>16</v>
      </c>
      <c r="E495" t="s">
        <v>15</v>
      </c>
      <c r="F495" t="s">
        <v>18</v>
      </c>
      <c r="G495" t="s">
        <v>29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934</v>
      </c>
      <c r="B496" s="1">
        <v>45666</v>
      </c>
      <c r="C496" t="s">
        <v>1</v>
      </c>
      <c r="D496" t="s">
        <v>19</v>
      </c>
      <c r="E496" t="s">
        <v>15</v>
      </c>
      <c r="F496" t="s">
        <v>27</v>
      </c>
      <c r="G496" t="s">
        <v>13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933</v>
      </c>
      <c r="B497" s="1">
        <v>45782</v>
      </c>
      <c r="C497" t="s">
        <v>1</v>
      </c>
      <c r="D497" t="s">
        <v>19</v>
      </c>
      <c r="E497" t="s">
        <v>15</v>
      </c>
      <c r="F497" t="s">
        <v>23</v>
      </c>
      <c r="G497" t="s">
        <v>13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932</v>
      </c>
      <c r="B498" s="1">
        <v>45763</v>
      </c>
      <c r="C498" t="s">
        <v>1</v>
      </c>
      <c r="D498" t="s">
        <v>20</v>
      </c>
      <c r="E498" t="s">
        <v>15</v>
      </c>
      <c r="F498" t="s">
        <v>23</v>
      </c>
      <c r="G498" t="s">
        <v>13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931</v>
      </c>
      <c r="B499" s="1">
        <v>45718</v>
      </c>
      <c r="C499" t="s">
        <v>1</v>
      </c>
      <c r="D499" t="s">
        <v>19</v>
      </c>
      <c r="E499" t="s">
        <v>25</v>
      </c>
      <c r="F499" t="s">
        <v>18</v>
      </c>
      <c r="G499" t="s">
        <v>17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930</v>
      </c>
      <c r="B500" s="1">
        <v>45761</v>
      </c>
      <c r="C500" t="s">
        <v>1</v>
      </c>
      <c r="D500" t="s">
        <v>19</v>
      </c>
      <c r="E500" t="s">
        <v>15</v>
      </c>
      <c r="F500" t="s">
        <v>22</v>
      </c>
      <c r="G500" t="s">
        <v>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929</v>
      </c>
      <c r="B501" s="1">
        <v>45703</v>
      </c>
      <c r="C501" t="s">
        <v>1</v>
      </c>
      <c r="D501" t="s">
        <v>20</v>
      </c>
      <c r="E501" t="s">
        <v>25</v>
      </c>
      <c r="F501" t="s">
        <v>14</v>
      </c>
      <c r="G501" t="s">
        <v>13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928</v>
      </c>
      <c r="B502" s="1">
        <v>45701</v>
      </c>
      <c r="C502" t="s">
        <v>1</v>
      </c>
      <c r="D502" t="s">
        <v>21</v>
      </c>
      <c r="E502" t="s">
        <v>15</v>
      </c>
      <c r="F502" t="s">
        <v>22</v>
      </c>
      <c r="G502" t="s">
        <v>17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927</v>
      </c>
      <c r="B503" s="1">
        <v>45722</v>
      </c>
      <c r="C503" t="s">
        <v>1</v>
      </c>
      <c r="D503" t="s">
        <v>16</v>
      </c>
      <c r="E503" t="s">
        <v>15</v>
      </c>
      <c r="F503" t="s">
        <v>23</v>
      </c>
      <c r="G503" t="s">
        <v>17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926</v>
      </c>
      <c r="B504" s="1">
        <v>45706</v>
      </c>
      <c r="C504" t="s">
        <v>1</v>
      </c>
      <c r="D504" t="s">
        <v>19</v>
      </c>
      <c r="E504" t="s">
        <v>25</v>
      </c>
      <c r="F504" t="s">
        <v>22</v>
      </c>
      <c r="G504" t="s">
        <v>17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925</v>
      </c>
      <c r="B505" s="1">
        <v>45754</v>
      </c>
      <c r="C505" t="s">
        <v>1</v>
      </c>
      <c r="D505" t="s">
        <v>16</v>
      </c>
      <c r="E505" t="s">
        <v>25</v>
      </c>
      <c r="F505" t="s">
        <v>18</v>
      </c>
      <c r="G505" t="s">
        <v>17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924</v>
      </c>
      <c r="B506" s="1">
        <v>45753</v>
      </c>
      <c r="C506" t="s">
        <v>1</v>
      </c>
      <c r="D506" t="s">
        <v>16</v>
      </c>
      <c r="E506" t="s">
        <v>15</v>
      </c>
      <c r="F506" t="s">
        <v>27</v>
      </c>
      <c r="G506" t="s">
        <v>17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923</v>
      </c>
      <c r="B507" s="1">
        <v>45687</v>
      </c>
      <c r="C507" t="s">
        <v>1</v>
      </c>
      <c r="D507" t="s">
        <v>16</v>
      </c>
      <c r="E507" t="s">
        <v>25</v>
      </c>
      <c r="F507" t="s">
        <v>22</v>
      </c>
      <c r="G507" t="s">
        <v>17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922</v>
      </c>
      <c r="B508" s="1">
        <v>45790</v>
      </c>
      <c r="C508" t="s">
        <v>1</v>
      </c>
      <c r="D508" t="s">
        <v>19</v>
      </c>
      <c r="E508" t="s">
        <v>25</v>
      </c>
      <c r="F508" t="s">
        <v>18</v>
      </c>
      <c r="G508" t="s">
        <v>13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921</v>
      </c>
      <c r="B509" s="1">
        <v>45677</v>
      </c>
      <c r="C509" t="s">
        <v>1</v>
      </c>
      <c r="D509" t="s">
        <v>21</v>
      </c>
      <c r="E509" t="s">
        <v>15</v>
      </c>
      <c r="F509" t="s">
        <v>14</v>
      </c>
      <c r="G509" t="s">
        <v>29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920</v>
      </c>
      <c r="B510" s="1">
        <v>45687</v>
      </c>
      <c r="C510" t="s">
        <v>1</v>
      </c>
      <c r="D510" t="s">
        <v>16</v>
      </c>
      <c r="E510" t="s">
        <v>24</v>
      </c>
      <c r="F510" t="s">
        <v>18</v>
      </c>
      <c r="G510" t="s">
        <v>17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919</v>
      </c>
      <c r="B511" s="1">
        <v>45670</v>
      </c>
      <c r="C511" t="s">
        <v>1</v>
      </c>
      <c r="D511" t="s">
        <v>19</v>
      </c>
      <c r="E511" t="s">
        <v>15</v>
      </c>
      <c r="F511" t="s">
        <v>18</v>
      </c>
      <c r="G511" t="s">
        <v>17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918</v>
      </c>
      <c r="B512" s="1">
        <v>45699</v>
      </c>
      <c r="C512" t="s">
        <v>1</v>
      </c>
      <c r="D512" t="s">
        <v>16</v>
      </c>
      <c r="E512" t="s">
        <v>15</v>
      </c>
      <c r="F512" t="s">
        <v>22</v>
      </c>
      <c r="G512" t="s">
        <v>17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917</v>
      </c>
      <c r="B513" s="1">
        <v>45762</v>
      </c>
      <c r="C513" t="s">
        <v>1</v>
      </c>
      <c r="D513" t="s">
        <v>19</v>
      </c>
      <c r="E513" t="s">
        <v>15</v>
      </c>
      <c r="F513" t="s">
        <v>18</v>
      </c>
      <c r="G513" t="s">
        <v>17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916</v>
      </c>
      <c r="B514" s="1">
        <v>45701</v>
      </c>
      <c r="C514" t="s">
        <v>1</v>
      </c>
      <c r="D514" t="s">
        <v>19</v>
      </c>
      <c r="E514" t="s">
        <v>15</v>
      </c>
      <c r="F514" t="s">
        <v>32</v>
      </c>
      <c r="G514" t="s">
        <v>17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915</v>
      </c>
      <c r="B515" s="1">
        <v>45786</v>
      </c>
      <c r="C515" t="s">
        <v>1</v>
      </c>
      <c r="D515" t="s">
        <v>19</v>
      </c>
      <c r="E515" t="s">
        <v>25</v>
      </c>
      <c r="F515" t="s">
        <v>18</v>
      </c>
      <c r="G515" t="s">
        <v>17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914</v>
      </c>
      <c r="B516" s="1">
        <v>45726</v>
      </c>
      <c r="C516" t="s">
        <v>1</v>
      </c>
      <c r="D516" t="s">
        <v>16</v>
      </c>
      <c r="E516" t="s">
        <v>15</v>
      </c>
      <c r="F516" t="s">
        <v>14</v>
      </c>
      <c r="G516" t="s">
        <v>17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913</v>
      </c>
      <c r="B517" s="1">
        <v>45748</v>
      </c>
      <c r="C517" t="s">
        <v>1</v>
      </c>
      <c r="D517" t="s">
        <v>16</v>
      </c>
      <c r="E517" t="s">
        <v>15</v>
      </c>
      <c r="F517" t="s">
        <v>18</v>
      </c>
      <c r="G517" t="s">
        <v>17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912</v>
      </c>
      <c r="B518" s="1">
        <v>45792</v>
      </c>
      <c r="C518" t="s">
        <v>1</v>
      </c>
      <c r="D518" t="s">
        <v>20</v>
      </c>
      <c r="E518" t="s">
        <v>15</v>
      </c>
      <c r="F518" t="s">
        <v>27</v>
      </c>
      <c r="G518" t="s">
        <v>13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911</v>
      </c>
      <c r="B519" s="1">
        <v>45781</v>
      </c>
      <c r="C519" t="s">
        <v>1</v>
      </c>
      <c r="D519" t="s">
        <v>19</v>
      </c>
      <c r="E519" t="s">
        <v>25</v>
      </c>
      <c r="F519" t="s">
        <v>22</v>
      </c>
      <c r="G519" t="s">
        <v>29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910</v>
      </c>
      <c r="B520" s="1">
        <v>45797</v>
      </c>
      <c r="C520" t="s">
        <v>1</v>
      </c>
      <c r="D520" t="s">
        <v>20</v>
      </c>
      <c r="E520" t="s">
        <v>15</v>
      </c>
      <c r="F520" t="s">
        <v>14</v>
      </c>
      <c r="G520" t="s">
        <v>17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909</v>
      </c>
      <c r="B521" s="1">
        <v>45793</v>
      </c>
      <c r="C521" t="s">
        <v>1</v>
      </c>
      <c r="D521" t="s">
        <v>21</v>
      </c>
      <c r="E521" t="s">
        <v>25</v>
      </c>
      <c r="F521" t="s">
        <v>27</v>
      </c>
      <c r="G521" t="s">
        <v>17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908</v>
      </c>
      <c r="B522" s="1">
        <v>45733</v>
      </c>
      <c r="C522" t="s">
        <v>1</v>
      </c>
      <c r="D522" t="s">
        <v>21</v>
      </c>
      <c r="E522" t="s">
        <v>15</v>
      </c>
      <c r="F522" t="s">
        <v>18</v>
      </c>
      <c r="G522" t="s">
        <v>17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907</v>
      </c>
      <c r="B523" s="1">
        <v>45684</v>
      </c>
      <c r="C523" t="s">
        <v>1</v>
      </c>
      <c r="D523" t="s">
        <v>20</v>
      </c>
      <c r="E523" t="s">
        <v>24</v>
      </c>
      <c r="F523" t="s">
        <v>14</v>
      </c>
      <c r="G523" t="s">
        <v>17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906</v>
      </c>
      <c r="B524" s="1">
        <v>45760</v>
      </c>
      <c r="C524" t="s">
        <v>1</v>
      </c>
      <c r="D524" t="s">
        <v>19</v>
      </c>
      <c r="E524" t="s">
        <v>15</v>
      </c>
      <c r="F524" t="s">
        <v>18</v>
      </c>
      <c r="G524" t="s">
        <v>13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905</v>
      </c>
      <c r="B525" s="1">
        <v>45780</v>
      </c>
      <c r="C525" t="s">
        <v>1</v>
      </c>
      <c r="D525" t="s">
        <v>19</v>
      </c>
      <c r="E525" t="s">
        <v>25</v>
      </c>
      <c r="F525" t="s">
        <v>23</v>
      </c>
      <c r="G525" t="s">
        <v>13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904</v>
      </c>
      <c r="B526" s="1">
        <v>45746</v>
      </c>
      <c r="C526" t="s">
        <v>1</v>
      </c>
      <c r="D526" t="s">
        <v>16</v>
      </c>
      <c r="E526" t="s">
        <v>15</v>
      </c>
      <c r="F526" t="s">
        <v>18</v>
      </c>
      <c r="G526" t="s">
        <v>17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903</v>
      </c>
      <c r="B527" s="1">
        <v>45658</v>
      </c>
      <c r="C527" t="s">
        <v>1</v>
      </c>
      <c r="D527" t="s">
        <v>21</v>
      </c>
      <c r="E527" t="s">
        <v>15</v>
      </c>
      <c r="F527" t="s">
        <v>14</v>
      </c>
      <c r="G527" t="s">
        <v>13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902</v>
      </c>
      <c r="B528" s="1">
        <v>45694</v>
      </c>
      <c r="C528" t="s">
        <v>1</v>
      </c>
      <c r="D528" t="s">
        <v>21</v>
      </c>
      <c r="E528" t="s">
        <v>15</v>
      </c>
      <c r="F528" t="s">
        <v>14</v>
      </c>
      <c r="G528" t="s">
        <v>13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901</v>
      </c>
      <c r="B529" s="1">
        <v>45713</v>
      </c>
      <c r="C529" t="s">
        <v>1</v>
      </c>
      <c r="D529" t="s">
        <v>16</v>
      </c>
      <c r="E529" t="s">
        <v>25</v>
      </c>
      <c r="F529" t="s">
        <v>18</v>
      </c>
      <c r="G529" t="s">
        <v>17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900</v>
      </c>
      <c r="B530" s="1">
        <v>45791</v>
      </c>
      <c r="C530" t="s">
        <v>1</v>
      </c>
      <c r="D530" t="s">
        <v>20</v>
      </c>
      <c r="E530" t="s">
        <v>24</v>
      </c>
      <c r="F530" t="s">
        <v>22</v>
      </c>
      <c r="G530" t="s">
        <v>17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899</v>
      </c>
      <c r="B531" s="1">
        <v>45797</v>
      </c>
      <c r="C531" t="s">
        <v>1</v>
      </c>
      <c r="D531" t="s">
        <v>19</v>
      </c>
      <c r="E531" t="s">
        <v>15</v>
      </c>
      <c r="F531" t="s">
        <v>18</v>
      </c>
      <c r="G531" t="s">
        <v>13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898</v>
      </c>
      <c r="B532" s="1">
        <v>45699</v>
      </c>
      <c r="C532" t="s">
        <v>1</v>
      </c>
      <c r="D532" t="s">
        <v>19</v>
      </c>
      <c r="E532" t="s">
        <v>15</v>
      </c>
      <c r="F532" t="s">
        <v>18</v>
      </c>
      <c r="G532" t="s">
        <v>17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897</v>
      </c>
      <c r="B533" s="1">
        <v>45701</v>
      </c>
      <c r="C533" t="s">
        <v>1</v>
      </c>
      <c r="D533" t="s">
        <v>21</v>
      </c>
      <c r="E533" t="s">
        <v>15</v>
      </c>
      <c r="F533" t="s">
        <v>18</v>
      </c>
      <c r="G533" t="s">
        <v>17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896</v>
      </c>
      <c r="B534" s="1">
        <v>45754</v>
      </c>
      <c r="C534" t="s">
        <v>1</v>
      </c>
      <c r="D534" t="s">
        <v>19</v>
      </c>
      <c r="E534" t="s">
        <v>15</v>
      </c>
      <c r="F534" t="s">
        <v>14</v>
      </c>
      <c r="G534" t="s">
        <v>29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895</v>
      </c>
      <c r="B535" s="1">
        <v>45724</v>
      </c>
      <c r="C535" t="s">
        <v>1</v>
      </c>
      <c r="D535" t="s">
        <v>20</v>
      </c>
      <c r="E535" t="s">
        <v>15</v>
      </c>
      <c r="F535" t="s">
        <v>23</v>
      </c>
      <c r="G535" t="s">
        <v>17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894</v>
      </c>
      <c r="B536" s="1">
        <v>45704</v>
      </c>
      <c r="C536" t="s">
        <v>1</v>
      </c>
      <c r="D536" t="s">
        <v>16</v>
      </c>
      <c r="E536" t="s">
        <v>25</v>
      </c>
      <c r="F536" t="s">
        <v>14</v>
      </c>
      <c r="G536" t="s">
        <v>17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893</v>
      </c>
      <c r="B537" s="1">
        <v>45775</v>
      </c>
      <c r="C537" t="s">
        <v>1</v>
      </c>
      <c r="D537" t="s">
        <v>19</v>
      </c>
      <c r="E537" t="s">
        <v>15</v>
      </c>
      <c r="F537" t="s">
        <v>14</v>
      </c>
      <c r="G537" t="s">
        <v>29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892</v>
      </c>
      <c r="B538" s="1">
        <v>45726</v>
      </c>
      <c r="C538" t="s">
        <v>1</v>
      </c>
      <c r="D538" t="s">
        <v>21</v>
      </c>
      <c r="E538" t="s">
        <v>24</v>
      </c>
      <c r="F538" t="s">
        <v>22</v>
      </c>
      <c r="G538" t="s">
        <v>13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891</v>
      </c>
      <c r="B539" s="1">
        <v>45682</v>
      </c>
      <c r="C539" t="s">
        <v>1</v>
      </c>
      <c r="D539" t="s">
        <v>20</v>
      </c>
      <c r="E539" t="s">
        <v>15</v>
      </c>
      <c r="F539" t="s">
        <v>22</v>
      </c>
      <c r="G539" t="s">
        <v>17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890</v>
      </c>
      <c r="B540" s="1">
        <v>45668</v>
      </c>
      <c r="C540" t="s">
        <v>1</v>
      </c>
      <c r="D540" t="s">
        <v>21</v>
      </c>
      <c r="E540" t="s">
        <v>15</v>
      </c>
      <c r="F540" t="s">
        <v>14</v>
      </c>
      <c r="G540" t="s">
        <v>29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889</v>
      </c>
      <c r="B541" s="1">
        <v>45747</v>
      </c>
      <c r="C541" t="s">
        <v>1</v>
      </c>
      <c r="D541" t="s">
        <v>21</v>
      </c>
      <c r="E541" t="s">
        <v>24</v>
      </c>
      <c r="F541" t="s">
        <v>14</v>
      </c>
      <c r="G541" t="s">
        <v>17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888</v>
      </c>
      <c r="B542" s="1">
        <v>45799</v>
      </c>
      <c r="C542" t="s">
        <v>1</v>
      </c>
      <c r="D542" t="s">
        <v>16</v>
      </c>
      <c r="E542" t="s">
        <v>15</v>
      </c>
      <c r="F542" t="s">
        <v>14</v>
      </c>
      <c r="G542" t="s">
        <v>13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887</v>
      </c>
      <c r="B543" s="1">
        <v>45793</v>
      </c>
      <c r="C543" t="s">
        <v>1</v>
      </c>
      <c r="D543" t="s">
        <v>16</v>
      </c>
      <c r="E543" t="s">
        <v>15</v>
      </c>
      <c r="F543" t="s">
        <v>27</v>
      </c>
      <c r="G543" t="s">
        <v>13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886</v>
      </c>
      <c r="B544" s="1">
        <v>45772</v>
      </c>
      <c r="C544" t="s">
        <v>1</v>
      </c>
      <c r="D544" t="s">
        <v>20</v>
      </c>
      <c r="E544" t="s">
        <v>25</v>
      </c>
      <c r="F544" t="s">
        <v>14</v>
      </c>
      <c r="G544" t="s">
        <v>17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885</v>
      </c>
      <c r="B545" s="1">
        <v>45764</v>
      </c>
      <c r="C545" t="s">
        <v>1</v>
      </c>
      <c r="D545" t="s">
        <v>20</v>
      </c>
      <c r="E545" t="s">
        <v>15</v>
      </c>
      <c r="F545" t="s">
        <v>22</v>
      </c>
      <c r="G545" t="s">
        <v>29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884</v>
      </c>
      <c r="B546" s="1">
        <v>45658</v>
      </c>
      <c r="C546" t="s">
        <v>1</v>
      </c>
      <c r="D546" t="s">
        <v>19</v>
      </c>
      <c r="E546" t="s">
        <v>25</v>
      </c>
      <c r="F546" t="s">
        <v>22</v>
      </c>
      <c r="G546" t="s">
        <v>13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58.235294117647001</v>
      </c>
    </row>
    <row r="547" spans="1:16">
      <c r="A547" t="s">
        <v>883</v>
      </c>
      <c r="B547" s="1">
        <v>45734</v>
      </c>
      <c r="C547" t="s">
        <v>1</v>
      </c>
      <c r="D547" t="s">
        <v>20</v>
      </c>
      <c r="E547" t="s">
        <v>15</v>
      </c>
      <c r="F547" t="s">
        <v>14</v>
      </c>
      <c r="G547" t="s">
        <v>13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882</v>
      </c>
      <c r="B548" s="1">
        <v>45797</v>
      </c>
      <c r="C548" t="s">
        <v>1</v>
      </c>
      <c r="D548" t="s">
        <v>16</v>
      </c>
      <c r="E548" t="s">
        <v>24</v>
      </c>
      <c r="F548" t="s">
        <v>14</v>
      </c>
      <c r="G548" t="s">
        <v>17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881</v>
      </c>
      <c r="B549" s="1">
        <v>45732</v>
      </c>
      <c r="C549" t="s">
        <v>1</v>
      </c>
      <c r="D549" t="s">
        <v>16</v>
      </c>
      <c r="E549" t="s">
        <v>15</v>
      </c>
      <c r="F549" t="s">
        <v>18</v>
      </c>
      <c r="G549" t="s">
        <v>13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880</v>
      </c>
      <c r="B550" s="1">
        <v>45807</v>
      </c>
      <c r="C550" t="s">
        <v>1</v>
      </c>
      <c r="D550" t="s">
        <v>20</v>
      </c>
      <c r="E550" t="s">
        <v>25</v>
      </c>
      <c r="F550" t="s">
        <v>22</v>
      </c>
      <c r="G550" t="s">
        <v>17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879</v>
      </c>
      <c r="B551" s="1">
        <v>45708</v>
      </c>
      <c r="C551" t="s">
        <v>1</v>
      </c>
      <c r="D551" t="s">
        <v>16</v>
      </c>
      <c r="E551" t="s">
        <v>15</v>
      </c>
      <c r="F551" t="s">
        <v>22</v>
      </c>
      <c r="G551" t="s">
        <v>29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878</v>
      </c>
      <c r="B552" s="1">
        <v>45699</v>
      </c>
      <c r="C552" t="s">
        <v>1</v>
      </c>
      <c r="D552" t="s">
        <v>20</v>
      </c>
      <c r="E552" t="s">
        <v>32</v>
      </c>
      <c r="F552" t="s">
        <v>22</v>
      </c>
      <c r="G552" t="s">
        <v>17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877</v>
      </c>
      <c r="B553" s="1">
        <v>45659</v>
      </c>
      <c r="C553" t="s">
        <v>1</v>
      </c>
      <c r="D553" t="s">
        <v>19</v>
      </c>
      <c r="E553" t="s">
        <v>24</v>
      </c>
      <c r="F553" t="s">
        <v>27</v>
      </c>
      <c r="G553" t="s">
        <v>13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876</v>
      </c>
      <c r="B554" s="1">
        <v>45780</v>
      </c>
      <c r="C554" t="s">
        <v>1</v>
      </c>
      <c r="D554" t="s">
        <v>16</v>
      </c>
      <c r="E554" t="s">
        <v>15</v>
      </c>
      <c r="F554" t="s">
        <v>18</v>
      </c>
      <c r="G554" t="s">
        <v>17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875</v>
      </c>
      <c r="B555" s="1">
        <v>45712</v>
      </c>
      <c r="C555" t="s">
        <v>1</v>
      </c>
      <c r="D555" t="s">
        <v>21</v>
      </c>
      <c r="E555" t="s">
        <v>15</v>
      </c>
      <c r="F555" t="s">
        <v>18</v>
      </c>
      <c r="G555" t="s">
        <v>17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874</v>
      </c>
      <c r="B556" s="1">
        <v>45699</v>
      </c>
      <c r="C556" t="s">
        <v>1</v>
      </c>
      <c r="D556" t="s">
        <v>19</v>
      </c>
      <c r="E556" t="s">
        <v>32</v>
      </c>
      <c r="F556" t="s">
        <v>18</v>
      </c>
      <c r="G556" t="s">
        <v>17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873</v>
      </c>
      <c r="B557" s="1">
        <v>45783</v>
      </c>
      <c r="C557" t="s">
        <v>1</v>
      </c>
      <c r="D557" t="s">
        <v>19</v>
      </c>
      <c r="E557" t="s">
        <v>15</v>
      </c>
      <c r="F557" t="s">
        <v>22</v>
      </c>
      <c r="G557" t="s">
        <v>13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872</v>
      </c>
      <c r="B558" s="1">
        <v>45800</v>
      </c>
      <c r="C558" t="s">
        <v>1</v>
      </c>
      <c r="D558" t="s">
        <v>16</v>
      </c>
      <c r="E558" t="s">
        <v>15</v>
      </c>
      <c r="F558" t="s">
        <v>14</v>
      </c>
      <c r="G558" t="s">
        <v>29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871</v>
      </c>
      <c r="B559" s="1">
        <v>45666</v>
      </c>
      <c r="C559" t="s">
        <v>1</v>
      </c>
      <c r="D559" t="s">
        <v>16</v>
      </c>
      <c r="E559" t="s">
        <v>25</v>
      </c>
      <c r="F559" t="s">
        <v>14</v>
      </c>
      <c r="G559" t="s">
        <v>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870</v>
      </c>
      <c r="B560" s="1">
        <v>45748</v>
      </c>
      <c r="C560" t="s">
        <v>1</v>
      </c>
      <c r="D560" t="s">
        <v>16</v>
      </c>
      <c r="E560" t="s">
        <v>25</v>
      </c>
      <c r="F560" t="s">
        <v>18</v>
      </c>
      <c r="G560" t="s">
        <v>29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869</v>
      </c>
      <c r="B561" s="1">
        <v>45724</v>
      </c>
      <c r="C561" t="s">
        <v>1</v>
      </c>
      <c r="D561" t="s">
        <v>16</v>
      </c>
      <c r="E561" t="s">
        <v>15</v>
      </c>
      <c r="F561" t="s">
        <v>18</v>
      </c>
      <c r="G561" t="s">
        <v>17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868</v>
      </c>
      <c r="B562" s="1">
        <v>45708</v>
      </c>
      <c r="C562" t="s">
        <v>1</v>
      </c>
      <c r="D562" t="s">
        <v>16</v>
      </c>
      <c r="E562" t="s">
        <v>15</v>
      </c>
      <c r="F562" t="s">
        <v>22</v>
      </c>
      <c r="G562" t="s">
        <v>13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867</v>
      </c>
      <c r="B563" s="1">
        <v>45746</v>
      </c>
      <c r="C563" t="s">
        <v>1</v>
      </c>
      <c r="D563" t="s">
        <v>20</v>
      </c>
      <c r="E563" t="s">
        <v>15</v>
      </c>
      <c r="F563" t="s">
        <v>22</v>
      </c>
      <c r="G563" t="s">
        <v>13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866</v>
      </c>
      <c r="B564" s="1">
        <v>45757</v>
      </c>
      <c r="C564" t="s">
        <v>1</v>
      </c>
      <c r="D564" t="s">
        <v>20</v>
      </c>
      <c r="E564" t="s">
        <v>25</v>
      </c>
      <c r="F564" t="s">
        <v>18</v>
      </c>
      <c r="G564" t="s">
        <v>13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865</v>
      </c>
      <c r="B565" s="1">
        <v>45740</v>
      </c>
      <c r="C565" t="s">
        <v>1</v>
      </c>
      <c r="D565" t="s">
        <v>20</v>
      </c>
      <c r="E565" t="s">
        <v>15</v>
      </c>
      <c r="F565" t="s">
        <v>18</v>
      </c>
      <c r="G565" t="s">
        <v>29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864</v>
      </c>
      <c r="B566" s="1">
        <v>45798</v>
      </c>
      <c r="C566" t="s">
        <v>1</v>
      </c>
      <c r="D566" t="s">
        <v>21</v>
      </c>
      <c r="E566" t="s">
        <v>15</v>
      </c>
      <c r="F566" t="s">
        <v>18</v>
      </c>
      <c r="G566" t="s">
        <v>13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863</v>
      </c>
      <c r="B567" s="1">
        <v>45745</v>
      </c>
      <c r="C567" t="s">
        <v>1</v>
      </c>
      <c r="D567" t="s">
        <v>20</v>
      </c>
      <c r="E567" t="s">
        <v>15</v>
      </c>
      <c r="F567" t="s">
        <v>22</v>
      </c>
      <c r="G567" t="s">
        <v>29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862</v>
      </c>
      <c r="B568" s="1">
        <v>45711</v>
      </c>
      <c r="C568" t="s">
        <v>1</v>
      </c>
      <c r="D568" t="s">
        <v>16</v>
      </c>
      <c r="E568" t="s">
        <v>24</v>
      </c>
      <c r="F568" t="s">
        <v>27</v>
      </c>
      <c r="G568" t="s">
        <v>13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861</v>
      </c>
      <c r="B569" s="1">
        <v>45704</v>
      </c>
      <c r="C569" t="s">
        <v>1</v>
      </c>
      <c r="D569" t="s">
        <v>21</v>
      </c>
      <c r="E569" t="s">
        <v>15</v>
      </c>
      <c r="F569" t="s">
        <v>14</v>
      </c>
      <c r="G569" t="s">
        <v>29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860</v>
      </c>
      <c r="B570" s="1">
        <v>45709</v>
      </c>
      <c r="C570" t="s">
        <v>1</v>
      </c>
      <c r="D570" t="s">
        <v>21</v>
      </c>
      <c r="E570" t="s">
        <v>25</v>
      </c>
      <c r="F570" t="s">
        <v>18</v>
      </c>
      <c r="G570" t="s">
        <v>13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859</v>
      </c>
      <c r="B571" s="1">
        <v>45664</v>
      </c>
      <c r="C571" t="s">
        <v>1</v>
      </c>
      <c r="D571" t="s">
        <v>16</v>
      </c>
      <c r="E571" t="s">
        <v>15</v>
      </c>
      <c r="F571" t="s">
        <v>27</v>
      </c>
      <c r="G571" t="s">
        <v>17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858</v>
      </c>
      <c r="B572" s="1">
        <v>45722</v>
      </c>
      <c r="C572" t="s">
        <v>1</v>
      </c>
      <c r="D572" t="s">
        <v>21</v>
      </c>
      <c r="E572" t="s">
        <v>15</v>
      </c>
      <c r="F572" t="s">
        <v>14</v>
      </c>
      <c r="G572" t="s">
        <v>17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857</v>
      </c>
      <c r="B573" s="1">
        <v>45746</v>
      </c>
      <c r="C573" t="s">
        <v>1</v>
      </c>
      <c r="D573" t="s">
        <v>20</v>
      </c>
      <c r="E573" t="s">
        <v>15</v>
      </c>
      <c r="F573" t="s">
        <v>23</v>
      </c>
      <c r="G573" t="s">
        <v>13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856</v>
      </c>
      <c r="B574" s="1">
        <v>45808</v>
      </c>
      <c r="C574" t="s">
        <v>1</v>
      </c>
      <c r="D574" t="s">
        <v>19</v>
      </c>
      <c r="E574" t="s">
        <v>25</v>
      </c>
      <c r="F574" t="s">
        <v>18</v>
      </c>
      <c r="G574" t="s">
        <v>17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855</v>
      </c>
      <c r="B575" s="1">
        <v>45708</v>
      </c>
      <c r="C575" t="s">
        <v>1</v>
      </c>
      <c r="D575" t="s">
        <v>19</v>
      </c>
      <c r="E575" t="s">
        <v>15</v>
      </c>
      <c r="F575" t="s">
        <v>23</v>
      </c>
      <c r="G575" t="s">
        <v>17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854</v>
      </c>
      <c r="B576" s="1">
        <v>45670</v>
      </c>
      <c r="C576" t="s">
        <v>1</v>
      </c>
      <c r="D576" t="s">
        <v>21</v>
      </c>
      <c r="E576" t="s">
        <v>15</v>
      </c>
      <c r="F576" t="s">
        <v>22</v>
      </c>
      <c r="G576" t="s">
        <v>17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853</v>
      </c>
      <c r="B577" s="1">
        <v>45790</v>
      </c>
      <c r="C577" t="s">
        <v>1</v>
      </c>
      <c r="D577" t="s">
        <v>20</v>
      </c>
      <c r="E577" t="s">
        <v>25</v>
      </c>
      <c r="F577" t="s">
        <v>14</v>
      </c>
      <c r="G577" t="s">
        <v>13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852</v>
      </c>
      <c r="B578" s="1">
        <v>45768</v>
      </c>
      <c r="C578" t="s">
        <v>1</v>
      </c>
      <c r="D578" t="s">
        <v>19</v>
      </c>
      <c r="E578" t="s">
        <v>24</v>
      </c>
      <c r="F578" t="s">
        <v>18</v>
      </c>
      <c r="G578" t="s">
        <v>17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851</v>
      </c>
      <c r="B579" s="1">
        <v>45717</v>
      </c>
      <c r="C579" t="s">
        <v>1</v>
      </c>
      <c r="D579" t="s">
        <v>20</v>
      </c>
      <c r="E579" t="s">
        <v>24</v>
      </c>
      <c r="F579" t="s">
        <v>18</v>
      </c>
      <c r="G579" t="s">
        <v>29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850</v>
      </c>
      <c r="B580" s="1">
        <v>45726</v>
      </c>
      <c r="C580" t="s">
        <v>1</v>
      </c>
      <c r="D580" t="s">
        <v>21</v>
      </c>
      <c r="E580" t="s">
        <v>24</v>
      </c>
      <c r="F580" t="s">
        <v>18</v>
      </c>
      <c r="G580" t="s">
        <v>17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849</v>
      </c>
      <c r="B581" s="1">
        <v>45724</v>
      </c>
      <c r="C581" t="s">
        <v>1</v>
      </c>
      <c r="D581" t="s">
        <v>20</v>
      </c>
      <c r="E581" t="s">
        <v>25</v>
      </c>
      <c r="F581" t="s">
        <v>14</v>
      </c>
      <c r="G581" t="s">
        <v>17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848</v>
      </c>
      <c r="B582" s="1">
        <v>45803</v>
      </c>
      <c r="C582" t="s">
        <v>1</v>
      </c>
      <c r="D582" t="s">
        <v>19</v>
      </c>
      <c r="E582" t="s">
        <v>25</v>
      </c>
      <c r="F582" t="s">
        <v>14</v>
      </c>
      <c r="G582" t="s">
        <v>17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847</v>
      </c>
      <c r="B583" s="1">
        <v>45797</v>
      </c>
      <c r="C583" t="s">
        <v>1</v>
      </c>
      <c r="D583" t="s">
        <v>20</v>
      </c>
      <c r="E583" t="s">
        <v>25</v>
      </c>
      <c r="F583" t="s">
        <v>14</v>
      </c>
      <c r="G583" t="s">
        <v>17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846</v>
      </c>
      <c r="B584" s="1">
        <v>45738</v>
      </c>
      <c r="C584" t="s">
        <v>1</v>
      </c>
      <c r="D584" t="s">
        <v>21</v>
      </c>
      <c r="E584" t="s">
        <v>25</v>
      </c>
      <c r="F584" t="s">
        <v>14</v>
      </c>
      <c r="G584" t="s">
        <v>17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845</v>
      </c>
      <c r="B585" s="1">
        <v>45703</v>
      </c>
      <c r="C585" t="s">
        <v>1</v>
      </c>
      <c r="D585" t="s">
        <v>19</v>
      </c>
      <c r="E585" t="s">
        <v>25</v>
      </c>
      <c r="F585" t="s">
        <v>14</v>
      </c>
      <c r="G585" t="s">
        <v>17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844</v>
      </c>
      <c r="B586" s="1">
        <v>45665</v>
      </c>
      <c r="C586" t="s">
        <v>1</v>
      </c>
      <c r="D586" t="s">
        <v>16</v>
      </c>
      <c r="E586" t="s">
        <v>15</v>
      </c>
      <c r="F586" t="s">
        <v>22</v>
      </c>
      <c r="G586" t="s">
        <v>17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843</v>
      </c>
      <c r="B587" s="1">
        <v>45686</v>
      </c>
      <c r="C587" t="s">
        <v>1</v>
      </c>
      <c r="D587" t="s">
        <v>19</v>
      </c>
      <c r="E587" t="s">
        <v>15</v>
      </c>
      <c r="F587" t="s">
        <v>18</v>
      </c>
      <c r="G587" t="s">
        <v>29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842</v>
      </c>
      <c r="B588" s="1">
        <v>45784</v>
      </c>
      <c r="C588" t="s">
        <v>1</v>
      </c>
      <c r="D588" t="s">
        <v>20</v>
      </c>
      <c r="E588" t="s">
        <v>24</v>
      </c>
      <c r="F588" t="s">
        <v>18</v>
      </c>
      <c r="G588" t="s">
        <v>17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841</v>
      </c>
      <c r="B589" s="1">
        <v>45717</v>
      </c>
      <c r="C589" t="s">
        <v>1</v>
      </c>
      <c r="D589" t="s">
        <v>16</v>
      </c>
      <c r="E589" t="s">
        <v>15</v>
      </c>
      <c r="F589" t="s">
        <v>22</v>
      </c>
      <c r="G589" t="s">
        <v>13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840</v>
      </c>
      <c r="B590" s="1">
        <v>45767</v>
      </c>
      <c r="C590" t="s">
        <v>1</v>
      </c>
      <c r="D590" t="s">
        <v>20</v>
      </c>
      <c r="E590" t="s">
        <v>15</v>
      </c>
      <c r="F590" t="s">
        <v>18</v>
      </c>
      <c r="G590" t="s">
        <v>17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839</v>
      </c>
      <c r="B591" s="1">
        <v>45673</v>
      </c>
      <c r="C591" t="s">
        <v>1</v>
      </c>
      <c r="D591" t="s">
        <v>20</v>
      </c>
      <c r="E591" t="s">
        <v>15</v>
      </c>
      <c r="F591" t="s">
        <v>18</v>
      </c>
      <c r="G591" t="s">
        <v>29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838</v>
      </c>
      <c r="B592" s="1">
        <v>45751</v>
      </c>
      <c r="C592" t="s">
        <v>1</v>
      </c>
      <c r="D592" t="s">
        <v>20</v>
      </c>
      <c r="E592" t="s">
        <v>15</v>
      </c>
      <c r="F592" t="s">
        <v>14</v>
      </c>
      <c r="G592" t="s">
        <v>17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837</v>
      </c>
      <c r="B593" s="1">
        <v>45686</v>
      </c>
      <c r="C593" t="s">
        <v>1</v>
      </c>
      <c r="D593" t="s">
        <v>16</v>
      </c>
      <c r="E593" t="s">
        <v>24</v>
      </c>
      <c r="F593" t="s">
        <v>22</v>
      </c>
      <c r="G593" t="s">
        <v>17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836</v>
      </c>
      <c r="B594" s="1">
        <v>45766</v>
      </c>
      <c r="C594" t="s">
        <v>1</v>
      </c>
      <c r="D594" t="s">
        <v>20</v>
      </c>
      <c r="E594" t="s">
        <v>15</v>
      </c>
      <c r="F594" t="s">
        <v>23</v>
      </c>
      <c r="G594" t="s">
        <v>17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835</v>
      </c>
      <c r="B595" s="1">
        <v>45726</v>
      </c>
      <c r="C595" t="s">
        <v>1</v>
      </c>
      <c r="D595" t="s">
        <v>19</v>
      </c>
      <c r="E595" t="s">
        <v>15</v>
      </c>
      <c r="F595" t="s">
        <v>22</v>
      </c>
      <c r="G595" t="s">
        <v>13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834</v>
      </c>
      <c r="B596" s="1">
        <v>45787</v>
      </c>
      <c r="C596" t="s">
        <v>1</v>
      </c>
      <c r="D596" t="s">
        <v>19</v>
      </c>
      <c r="E596" t="s">
        <v>15</v>
      </c>
      <c r="F596" t="s">
        <v>22</v>
      </c>
      <c r="G596" t="s">
        <v>13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833</v>
      </c>
      <c r="B597" s="1">
        <v>45690</v>
      </c>
      <c r="C597" t="s">
        <v>1</v>
      </c>
      <c r="D597" t="s">
        <v>16</v>
      </c>
      <c r="E597" t="s">
        <v>15</v>
      </c>
      <c r="F597" t="s">
        <v>22</v>
      </c>
      <c r="G597" t="s">
        <v>17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832</v>
      </c>
      <c r="B598" s="1">
        <v>45783</v>
      </c>
      <c r="C598" t="s">
        <v>1</v>
      </c>
      <c r="D598" t="s">
        <v>16</v>
      </c>
      <c r="E598" t="s">
        <v>25</v>
      </c>
      <c r="F598" t="s">
        <v>18</v>
      </c>
      <c r="G598" t="s">
        <v>17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831</v>
      </c>
      <c r="B599" s="1">
        <v>45676</v>
      </c>
      <c r="C599" t="s">
        <v>1</v>
      </c>
      <c r="D599" t="s">
        <v>21</v>
      </c>
      <c r="E599" t="s">
        <v>25</v>
      </c>
      <c r="F599" t="s">
        <v>18</v>
      </c>
      <c r="G599" t="s">
        <v>17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830</v>
      </c>
      <c r="B600" s="1">
        <v>45659</v>
      </c>
      <c r="C600" t="s">
        <v>1</v>
      </c>
      <c r="D600" t="s">
        <v>16</v>
      </c>
      <c r="E600" t="s">
        <v>15</v>
      </c>
      <c r="F600" t="s">
        <v>18</v>
      </c>
      <c r="G600" t="s">
        <v>17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829</v>
      </c>
      <c r="B601" s="1">
        <v>45780</v>
      </c>
      <c r="C601" t="s">
        <v>1</v>
      </c>
      <c r="D601" t="s">
        <v>19</v>
      </c>
      <c r="E601" t="s">
        <v>25</v>
      </c>
      <c r="F601" t="s">
        <v>14</v>
      </c>
      <c r="G601" t="s">
        <v>17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828</v>
      </c>
      <c r="B602" s="1">
        <v>45804</v>
      </c>
      <c r="C602" t="s">
        <v>1</v>
      </c>
      <c r="D602" t="s">
        <v>20</v>
      </c>
      <c r="E602" t="s">
        <v>25</v>
      </c>
      <c r="F602" t="s">
        <v>27</v>
      </c>
      <c r="G602" t="s">
        <v>29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827</v>
      </c>
      <c r="B603" s="1">
        <v>45697</v>
      </c>
      <c r="C603" t="s">
        <v>1</v>
      </c>
      <c r="D603" t="s">
        <v>19</v>
      </c>
      <c r="E603" t="s">
        <v>25</v>
      </c>
      <c r="F603" t="s">
        <v>22</v>
      </c>
      <c r="G603" t="s">
        <v>17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826</v>
      </c>
      <c r="B604" s="1">
        <v>45795</v>
      </c>
      <c r="C604" t="s">
        <v>1</v>
      </c>
      <c r="D604" t="s">
        <v>20</v>
      </c>
      <c r="E604" t="s">
        <v>15</v>
      </c>
      <c r="F604" t="s">
        <v>14</v>
      </c>
      <c r="G604" t="s">
        <v>17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825</v>
      </c>
      <c r="B605" s="1">
        <v>45794</v>
      </c>
      <c r="C605" t="s">
        <v>1</v>
      </c>
      <c r="D605" t="s">
        <v>16</v>
      </c>
      <c r="E605" t="s">
        <v>15</v>
      </c>
      <c r="F605" t="s">
        <v>23</v>
      </c>
      <c r="G605" t="s">
        <v>17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824</v>
      </c>
      <c r="B606" s="1">
        <v>45682</v>
      </c>
      <c r="C606" t="s">
        <v>1</v>
      </c>
      <c r="D606" t="s">
        <v>20</v>
      </c>
      <c r="E606" t="s">
        <v>25</v>
      </c>
      <c r="F606" t="s">
        <v>27</v>
      </c>
      <c r="G606" t="s">
        <v>13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823</v>
      </c>
      <c r="B607" s="1">
        <v>45781</v>
      </c>
      <c r="C607" t="s">
        <v>1</v>
      </c>
      <c r="D607" t="s">
        <v>21</v>
      </c>
      <c r="E607" t="s">
        <v>15</v>
      </c>
      <c r="F607" t="s">
        <v>14</v>
      </c>
      <c r="G607" t="s">
        <v>29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822</v>
      </c>
      <c r="B608" s="1">
        <v>45761</v>
      </c>
      <c r="C608" t="s">
        <v>1</v>
      </c>
      <c r="D608" t="s">
        <v>21</v>
      </c>
      <c r="E608" t="s">
        <v>15</v>
      </c>
      <c r="F608" t="s">
        <v>18</v>
      </c>
      <c r="G608" t="s">
        <v>17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821</v>
      </c>
      <c r="B609" s="1">
        <v>45765</v>
      </c>
      <c r="C609" t="s">
        <v>1</v>
      </c>
      <c r="D609" t="s">
        <v>19</v>
      </c>
      <c r="E609" t="s">
        <v>15</v>
      </c>
      <c r="F609" t="s">
        <v>14</v>
      </c>
      <c r="G609" t="s">
        <v>17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820</v>
      </c>
      <c r="B610" s="1">
        <v>45712</v>
      </c>
      <c r="C610" t="s">
        <v>1</v>
      </c>
      <c r="D610" t="s">
        <v>19</v>
      </c>
      <c r="E610" t="s">
        <v>25</v>
      </c>
      <c r="F610" t="s">
        <v>23</v>
      </c>
      <c r="G610" t="s">
        <v>13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819</v>
      </c>
      <c r="B611" s="1">
        <v>45766</v>
      </c>
      <c r="C611" t="s">
        <v>1</v>
      </c>
      <c r="D611" t="s">
        <v>16</v>
      </c>
      <c r="E611" t="s">
        <v>24</v>
      </c>
      <c r="F611" t="s">
        <v>14</v>
      </c>
      <c r="G611" t="s">
        <v>17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818</v>
      </c>
      <c r="B612" s="1">
        <v>45723</v>
      </c>
      <c r="C612" t="s">
        <v>1</v>
      </c>
      <c r="D612" t="s">
        <v>19</v>
      </c>
      <c r="E612" t="s">
        <v>25</v>
      </c>
      <c r="F612" t="s">
        <v>18</v>
      </c>
      <c r="G612" t="s">
        <v>13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817</v>
      </c>
      <c r="B613" s="1">
        <v>45725</v>
      </c>
      <c r="C613" t="s">
        <v>1</v>
      </c>
      <c r="D613" t="s">
        <v>20</v>
      </c>
      <c r="E613" t="s">
        <v>15</v>
      </c>
      <c r="F613" t="s">
        <v>18</v>
      </c>
      <c r="G613" t="s">
        <v>13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816</v>
      </c>
      <c r="B614" s="1">
        <v>45778</v>
      </c>
      <c r="C614" t="s">
        <v>1</v>
      </c>
      <c r="D614" t="s">
        <v>19</v>
      </c>
      <c r="E614" t="s">
        <v>25</v>
      </c>
      <c r="F614" t="s">
        <v>18</v>
      </c>
      <c r="G614" t="s">
        <v>13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815</v>
      </c>
      <c r="B615" s="1">
        <v>45697</v>
      </c>
      <c r="C615" t="s">
        <v>1</v>
      </c>
      <c r="D615" t="s">
        <v>21</v>
      </c>
      <c r="E615" t="s">
        <v>25</v>
      </c>
      <c r="F615" t="s">
        <v>18</v>
      </c>
      <c r="G615" t="s">
        <v>29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814</v>
      </c>
      <c r="B616" s="1">
        <v>45799</v>
      </c>
      <c r="C616" t="s">
        <v>1</v>
      </c>
      <c r="D616" t="s">
        <v>21</v>
      </c>
      <c r="E616" t="s">
        <v>15</v>
      </c>
      <c r="F616" t="s">
        <v>27</v>
      </c>
      <c r="G616" t="s">
        <v>29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813</v>
      </c>
      <c r="B617" s="1">
        <v>45699</v>
      </c>
      <c r="C617" t="s">
        <v>1</v>
      </c>
      <c r="D617" t="s">
        <v>16</v>
      </c>
      <c r="E617" t="s">
        <v>15</v>
      </c>
      <c r="F617" t="s">
        <v>18</v>
      </c>
      <c r="G617" t="s">
        <v>29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812</v>
      </c>
      <c r="B618" s="1">
        <v>45759</v>
      </c>
      <c r="C618" t="s">
        <v>1</v>
      </c>
      <c r="D618" t="s">
        <v>16</v>
      </c>
      <c r="E618" t="s">
        <v>15</v>
      </c>
      <c r="F618" t="s">
        <v>27</v>
      </c>
      <c r="G618" t="s">
        <v>13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811</v>
      </c>
      <c r="B619" s="1">
        <v>45717</v>
      </c>
      <c r="C619" t="s">
        <v>1</v>
      </c>
      <c r="D619" t="s">
        <v>21</v>
      </c>
      <c r="E619" t="s">
        <v>15</v>
      </c>
      <c r="F619" t="s">
        <v>22</v>
      </c>
      <c r="G619" t="s">
        <v>17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810</v>
      </c>
      <c r="B620" s="1">
        <v>45733</v>
      </c>
      <c r="C620" t="s">
        <v>1</v>
      </c>
      <c r="D620" t="s">
        <v>21</v>
      </c>
      <c r="E620" t="s">
        <v>25</v>
      </c>
      <c r="F620" t="s">
        <v>23</v>
      </c>
      <c r="G620" t="s">
        <v>13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809</v>
      </c>
      <c r="B621" s="1">
        <v>45668</v>
      </c>
      <c r="C621" t="s">
        <v>1</v>
      </c>
      <c r="D621" t="s">
        <v>16</v>
      </c>
      <c r="E621" t="s">
        <v>15</v>
      </c>
      <c r="F621" t="s">
        <v>14</v>
      </c>
      <c r="G621" t="s">
        <v>17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808</v>
      </c>
      <c r="B622" s="1">
        <v>45705</v>
      </c>
      <c r="C622" t="s">
        <v>1</v>
      </c>
      <c r="D622" t="s">
        <v>19</v>
      </c>
      <c r="E622" t="s">
        <v>15</v>
      </c>
      <c r="F622" t="s">
        <v>22</v>
      </c>
      <c r="G622" t="s">
        <v>29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807</v>
      </c>
      <c r="B623" s="1">
        <v>45741</v>
      </c>
      <c r="C623" t="s">
        <v>1</v>
      </c>
      <c r="D623" t="s">
        <v>20</v>
      </c>
      <c r="E623" t="s">
        <v>15</v>
      </c>
      <c r="F623" t="s">
        <v>14</v>
      </c>
      <c r="G623" t="s">
        <v>13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806</v>
      </c>
      <c r="B624" s="1">
        <v>45778</v>
      </c>
      <c r="C624" t="s">
        <v>1</v>
      </c>
      <c r="D624" t="s">
        <v>19</v>
      </c>
      <c r="E624" t="s">
        <v>15</v>
      </c>
      <c r="F624" t="s">
        <v>14</v>
      </c>
      <c r="G624" t="s">
        <v>17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805</v>
      </c>
      <c r="B625" s="1">
        <v>45749</v>
      </c>
      <c r="C625" t="s">
        <v>1</v>
      </c>
      <c r="D625" t="s">
        <v>20</v>
      </c>
      <c r="E625" t="s">
        <v>15</v>
      </c>
      <c r="F625" t="s">
        <v>18</v>
      </c>
      <c r="G625" t="s">
        <v>13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804</v>
      </c>
      <c r="B626" s="1">
        <v>45752</v>
      </c>
      <c r="C626" t="s">
        <v>1</v>
      </c>
      <c r="D626" t="s">
        <v>20</v>
      </c>
      <c r="E626" t="s">
        <v>15</v>
      </c>
      <c r="F626" t="s">
        <v>23</v>
      </c>
      <c r="G626" t="s">
        <v>17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803</v>
      </c>
      <c r="B627" s="1">
        <v>45712</v>
      </c>
      <c r="C627" t="s">
        <v>1</v>
      </c>
      <c r="D627" t="s">
        <v>16</v>
      </c>
      <c r="E627" t="s">
        <v>25</v>
      </c>
      <c r="F627" t="s">
        <v>22</v>
      </c>
      <c r="G627" t="s">
        <v>17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802</v>
      </c>
      <c r="B628" s="1">
        <v>45681</v>
      </c>
      <c r="C628" t="s">
        <v>1</v>
      </c>
      <c r="D628" t="s">
        <v>21</v>
      </c>
      <c r="E628" t="s">
        <v>15</v>
      </c>
      <c r="F628" t="s">
        <v>14</v>
      </c>
      <c r="G628" t="s">
        <v>13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801</v>
      </c>
      <c r="B629" s="1">
        <v>45757</v>
      </c>
      <c r="C629" t="s">
        <v>1</v>
      </c>
      <c r="D629" t="s">
        <v>19</v>
      </c>
      <c r="E629" t="s">
        <v>15</v>
      </c>
      <c r="F629" t="s">
        <v>14</v>
      </c>
      <c r="G629" t="s">
        <v>17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800</v>
      </c>
      <c r="B630" s="1">
        <v>45707</v>
      </c>
      <c r="C630" t="s">
        <v>1</v>
      </c>
      <c r="D630" t="s">
        <v>19</v>
      </c>
      <c r="E630" t="s">
        <v>15</v>
      </c>
      <c r="F630" t="s">
        <v>27</v>
      </c>
      <c r="G630" t="s">
        <v>17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799</v>
      </c>
      <c r="B631" s="1">
        <v>45738</v>
      </c>
      <c r="C631" t="s">
        <v>1</v>
      </c>
      <c r="D631" t="s">
        <v>16</v>
      </c>
      <c r="E631" t="s">
        <v>15</v>
      </c>
      <c r="F631" t="s">
        <v>22</v>
      </c>
      <c r="G631" t="s">
        <v>17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798</v>
      </c>
      <c r="B632" s="1">
        <v>45755</v>
      </c>
      <c r="C632" t="s">
        <v>1</v>
      </c>
      <c r="D632" t="s">
        <v>20</v>
      </c>
      <c r="E632" t="s">
        <v>25</v>
      </c>
      <c r="F632" t="s">
        <v>18</v>
      </c>
      <c r="G632" t="s">
        <v>29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797</v>
      </c>
      <c r="B633" s="1">
        <v>45732</v>
      </c>
      <c r="C633" t="s">
        <v>1</v>
      </c>
      <c r="D633" t="s">
        <v>16</v>
      </c>
      <c r="E633" t="s">
        <v>15</v>
      </c>
      <c r="F633" t="s">
        <v>22</v>
      </c>
      <c r="G633" t="s">
        <v>17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58.235294117647001</v>
      </c>
    </row>
    <row r="634" spans="1:16">
      <c r="A634" t="s">
        <v>796</v>
      </c>
      <c r="B634" s="1">
        <v>45723</v>
      </c>
      <c r="C634" t="s">
        <v>1</v>
      </c>
      <c r="D634" t="s">
        <v>20</v>
      </c>
      <c r="E634" t="s">
        <v>15</v>
      </c>
      <c r="F634" t="s">
        <v>14</v>
      </c>
      <c r="G634" t="s">
        <v>17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795</v>
      </c>
      <c r="B635" s="1">
        <v>45732</v>
      </c>
      <c r="C635" t="s">
        <v>1</v>
      </c>
      <c r="D635" t="s">
        <v>19</v>
      </c>
      <c r="E635" t="s">
        <v>15</v>
      </c>
      <c r="F635" t="s">
        <v>27</v>
      </c>
      <c r="G635" t="s">
        <v>13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794</v>
      </c>
      <c r="B636" s="1">
        <v>45803</v>
      </c>
      <c r="C636" t="s">
        <v>1</v>
      </c>
      <c r="D636" t="s">
        <v>20</v>
      </c>
      <c r="E636" t="s">
        <v>15</v>
      </c>
      <c r="F636" t="s">
        <v>32</v>
      </c>
      <c r="G636" t="s">
        <v>29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793</v>
      </c>
      <c r="B637" s="1">
        <v>45671</v>
      </c>
      <c r="C637" t="s">
        <v>1</v>
      </c>
      <c r="D637" t="s">
        <v>21</v>
      </c>
      <c r="E637" t="s">
        <v>15</v>
      </c>
      <c r="F637" t="s">
        <v>18</v>
      </c>
      <c r="G637" t="s">
        <v>17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792</v>
      </c>
      <c r="B638" s="1">
        <v>45746</v>
      </c>
      <c r="C638" t="s">
        <v>1</v>
      </c>
      <c r="D638" t="s">
        <v>21</v>
      </c>
      <c r="E638" t="s">
        <v>15</v>
      </c>
      <c r="F638" t="s">
        <v>14</v>
      </c>
      <c r="G638" t="s">
        <v>29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791</v>
      </c>
      <c r="B639" s="1">
        <v>45789</v>
      </c>
      <c r="C639" t="s">
        <v>1</v>
      </c>
      <c r="D639" t="s">
        <v>20</v>
      </c>
      <c r="E639" t="s">
        <v>25</v>
      </c>
      <c r="F639" t="s">
        <v>23</v>
      </c>
      <c r="G639" t="s">
        <v>17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790</v>
      </c>
      <c r="B640" s="1">
        <v>45787</v>
      </c>
      <c r="C640" t="s">
        <v>1</v>
      </c>
      <c r="D640" t="s">
        <v>21</v>
      </c>
      <c r="E640" t="s">
        <v>15</v>
      </c>
      <c r="F640" t="s">
        <v>14</v>
      </c>
      <c r="G640" t="s">
        <v>17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789</v>
      </c>
      <c r="B641" s="1">
        <v>45756</v>
      </c>
      <c r="C641" t="s">
        <v>1</v>
      </c>
      <c r="D641" t="s">
        <v>20</v>
      </c>
      <c r="E641" t="s">
        <v>15</v>
      </c>
      <c r="F641" t="s">
        <v>22</v>
      </c>
      <c r="G641" t="s">
        <v>13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788</v>
      </c>
      <c r="B642" s="1">
        <v>45803</v>
      </c>
      <c r="C642" t="s">
        <v>1</v>
      </c>
      <c r="D642" t="s">
        <v>16</v>
      </c>
      <c r="E642" t="s">
        <v>15</v>
      </c>
      <c r="F642" t="s">
        <v>22</v>
      </c>
      <c r="G642" t="s">
        <v>17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787</v>
      </c>
      <c r="B643" s="1">
        <v>45700</v>
      </c>
      <c r="C643" t="s">
        <v>1</v>
      </c>
      <c r="D643" t="s">
        <v>16</v>
      </c>
      <c r="E643" t="s">
        <v>15</v>
      </c>
      <c r="F643" t="s">
        <v>18</v>
      </c>
      <c r="G643" t="s">
        <v>17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786</v>
      </c>
      <c r="B644" s="1">
        <v>45748</v>
      </c>
      <c r="C644" t="s">
        <v>1</v>
      </c>
      <c r="D644" t="s">
        <v>16</v>
      </c>
      <c r="E644" t="s">
        <v>25</v>
      </c>
      <c r="F644" t="s">
        <v>23</v>
      </c>
      <c r="G644" t="s">
        <v>13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785</v>
      </c>
      <c r="B645" s="1">
        <v>45675</v>
      </c>
      <c r="C645" t="s">
        <v>1</v>
      </c>
      <c r="D645" t="s">
        <v>19</v>
      </c>
      <c r="E645" t="s">
        <v>25</v>
      </c>
      <c r="F645" t="s">
        <v>18</v>
      </c>
      <c r="G645" t="s">
        <v>13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784</v>
      </c>
      <c r="B646" s="1">
        <v>45753</v>
      </c>
      <c r="C646" t="s">
        <v>1</v>
      </c>
      <c r="D646" t="s">
        <v>20</v>
      </c>
      <c r="E646" t="s">
        <v>24</v>
      </c>
      <c r="F646" t="s">
        <v>18</v>
      </c>
      <c r="G646" t="s">
        <v>17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783</v>
      </c>
      <c r="B647" s="1">
        <v>45764</v>
      </c>
      <c r="C647" t="s">
        <v>1</v>
      </c>
      <c r="D647" t="s">
        <v>20</v>
      </c>
      <c r="E647" t="s">
        <v>15</v>
      </c>
      <c r="F647" t="s">
        <v>18</v>
      </c>
      <c r="G647" t="s">
        <v>17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782</v>
      </c>
      <c r="B648" s="1">
        <v>45695</v>
      </c>
      <c r="C648" t="s">
        <v>1</v>
      </c>
      <c r="D648" t="s">
        <v>16</v>
      </c>
      <c r="E648" t="s">
        <v>25</v>
      </c>
      <c r="F648" t="s">
        <v>14</v>
      </c>
      <c r="G648" t="s">
        <v>17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781</v>
      </c>
      <c r="B649" s="1">
        <v>45720</v>
      </c>
      <c r="C649" t="s">
        <v>1</v>
      </c>
      <c r="D649" t="s">
        <v>20</v>
      </c>
      <c r="E649" t="s">
        <v>15</v>
      </c>
      <c r="F649" t="s">
        <v>18</v>
      </c>
      <c r="G649" t="s">
        <v>13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780</v>
      </c>
      <c r="B650" s="1">
        <v>45705</v>
      </c>
      <c r="C650" t="s">
        <v>1</v>
      </c>
      <c r="D650" t="s">
        <v>16</v>
      </c>
      <c r="E650" t="s">
        <v>25</v>
      </c>
      <c r="F650" t="s">
        <v>18</v>
      </c>
      <c r="G650" t="s">
        <v>29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779</v>
      </c>
      <c r="B651" s="1">
        <v>45783</v>
      </c>
      <c r="C651" t="s">
        <v>1</v>
      </c>
      <c r="D651" t="s">
        <v>19</v>
      </c>
      <c r="E651" t="s">
        <v>15</v>
      </c>
      <c r="F651" t="s">
        <v>27</v>
      </c>
      <c r="G651" t="s">
        <v>17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778</v>
      </c>
      <c r="B652" s="1">
        <v>45741</v>
      </c>
      <c r="C652" t="s">
        <v>1</v>
      </c>
      <c r="D652" t="s">
        <v>19</v>
      </c>
      <c r="E652" t="s">
        <v>15</v>
      </c>
      <c r="F652" t="s">
        <v>27</v>
      </c>
      <c r="G652" t="s">
        <v>29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777</v>
      </c>
      <c r="B653" s="1">
        <v>45720</v>
      </c>
      <c r="C653" t="s">
        <v>1</v>
      </c>
      <c r="D653" t="s">
        <v>21</v>
      </c>
      <c r="E653" t="s">
        <v>15</v>
      </c>
      <c r="F653" t="s">
        <v>23</v>
      </c>
      <c r="G653" t="s">
        <v>29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776</v>
      </c>
      <c r="B654" s="1">
        <v>45786</v>
      </c>
      <c r="C654" t="s">
        <v>1</v>
      </c>
      <c r="D654" t="s">
        <v>21</v>
      </c>
      <c r="E654" t="s">
        <v>15</v>
      </c>
      <c r="F654" t="s">
        <v>18</v>
      </c>
      <c r="G654" t="s">
        <v>17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775</v>
      </c>
      <c r="B655" s="1">
        <v>45794</v>
      </c>
      <c r="C655" t="s">
        <v>1</v>
      </c>
      <c r="D655" t="s">
        <v>21</v>
      </c>
      <c r="E655" t="s">
        <v>15</v>
      </c>
      <c r="F655" t="s">
        <v>27</v>
      </c>
      <c r="G655" t="s">
        <v>29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774</v>
      </c>
      <c r="B656" s="1">
        <v>45669</v>
      </c>
      <c r="C656" t="s">
        <v>1</v>
      </c>
      <c r="D656" t="s">
        <v>21</v>
      </c>
      <c r="E656" t="s">
        <v>15</v>
      </c>
      <c r="F656" t="s">
        <v>18</v>
      </c>
      <c r="G656" t="s">
        <v>17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773</v>
      </c>
      <c r="B657" s="1">
        <v>45728</v>
      </c>
      <c r="C657" t="s">
        <v>1</v>
      </c>
      <c r="D657" t="s">
        <v>21</v>
      </c>
      <c r="E657" t="s">
        <v>15</v>
      </c>
      <c r="F657" t="s">
        <v>18</v>
      </c>
      <c r="G657" t="s">
        <v>29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772</v>
      </c>
      <c r="B658" s="1">
        <v>45749</v>
      </c>
      <c r="C658" t="s">
        <v>1</v>
      </c>
      <c r="D658" t="s">
        <v>19</v>
      </c>
      <c r="E658" t="s">
        <v>15</v>
      </c>
      <c r="F658" t="s">
        <v>18</v>
      </c>
      <c r="G658" t="s">
        <v>13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771</v>
      </c>
      <c r="B659" s="1">
        <v>45670</v>
      </c>
      <c r="C659" t="s">
        <v>1</v>
      </c>
      <c r="D659" t="s">
        <v>19</v>
      </c>
      <c r="E659" t="s">
        <v>15</v>
      </c>
      <c r="F659" t="s">
        <v>18</v>
      </c>
      <c r="G659" t="s">
        <v>13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770</v>
      </c>
      <c r="B660" s="1">
        <v>45723</v>
      </c>
      <c r="C660" t="s">
        <v>1</v>
      </c>
      <c r="D660" t="s">
        <v>20</v>
      </c>
      <c r="E660" t="s">
        <v>15</v>
      </c>
      <c r="F660" t="s">
        <v>27</v>
      </c>
      <c r="G660" t="s">
        <v>17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769</v>
      </c>
      <c r="B661" s="1">
        <v>45767</v>
      </c>
      <c r="C661" t="s">
        <v>1</v>
      </c>
      <c r="D661" t="s">
        <v>19</v>
      </c>
      <c r="E661" t="s">
        <v>25</v>
      </c>
      <c r="F661" t="s">
        <v>22</v>
      </c>
      <c r="G661" t="s">
        <v>17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768</v>
      </c>
      <c r="B662" s="1">
        <v>45664</v>
      </c>
      <c r="C662" t="s">
        <v>1</v>
      </c>
      <c r="D662" t="s">
        <v>19</v>
      </c>
      <c r="E662" t="s">
        <v>15</v>
      </c>
      <c r="F662" t="s">
        <v>14</v>
      </c>
      <c r="G662" t="s">
        <v>17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767</v>
      </c>
      <c r="B663" s="1">
        <v>45770</v>
      </c>
      <c r="C663" t="s">
        <v>1</v>
      </c>
      <c r="D663" t="s">
        <v>19</v>
      </c>
      <c r="E663" t="s">
        <v>15</v>
      </c>
      <c r="F663" t="s">
        <v>27</v>
      </c>
      <c r="G663" t="s">
        <v>17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766</v>
      </c>
      <c r="B664" s="1">
        <v>45803</v>
      </c>
      <c r="C664" t="s">
        <v>1</v>
      </c>
      <c r="D664" t="s">
        <v>16</v>
      </c>
      <c r="E664" t="s">
        <v>15</v>
      </c>
      <c r="F664" t="s">
        <v>14</v>
      </c>
      <c r="G664" t="s">
        <v>13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765</v>
      </c>
      <c r="B665" s="1">
        <v>45733</v>
      </c>
      <c r="C665" t="s">
        <v>1</v>
      </c>
      <c r="D665" t="s">
        <v>16</v>
      </c>
      <c r="E665" t="s">
        <v>25</v>
      </c>
      <c r="F665" t="s">
        <v>22</v>
      </c>
      <c r="G665" t="s">
        <v>13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764</v>
      </c>
      <c r="B666" s="1">
        <v>45794</v>
      </c>
      <c r="C666" t="s">
        <v>1</v>
      </c>
      <c r="D666" t="s">
        <v>16</v>
      </c>
      <c r="E666" t="s">
        <v>25</v>
      </c>
      <c r="F666" t="s">
        <v>14</v>
      </c>
      <c r="G666" t="s">
        <v>13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763</v>
      </c>
      <c r="B667" s="1">
        <v>45709</v>
      </c>
      <c r="C667" t="s">
        <v>1</v>
      </c>
      <c r="D667" t="s">
        <v>16</v>
      </c>
      <c r="E667" t="s">
        <v>15</v>
      </c>
      <c r="F667" t="s">
        <v>14</v>
      </c>
      <c r="G667" t="s">
        <v>13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762</v>
      </c>
      <c r="B668" s="1">
        <v>45713</v>
      </c>
      <c r="C668" t="s">
        <v>1</v>
      </c>
      <c r="D668" t="s">
        <v>20</v>
      </c>
      <c r="E668" t="s">
        <v>25</v>
      </c>
      <c r="F668" t="s">
        <v>14</v>
      </c>
      <c r="G668" t="s">
        <v>29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761</v>
      </c>
      <c r="B669" s="1">
        <v>45687</v>
      </c>
      <c r="C669" t="s">
        <v>1</v>
      </c>
      <c r="D669" t="s">
        <v>19</v>
      </c>
      <c r="E669" t="s">
        <v>15</v>
      </c>
      <c r="F669" t="s">
        <v>22</v>
      </c>
      <c r="G669" t="s">
        <v>17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760</v>
      </c>
      <c r="B670" s="1">
        <v>45705</v>
      </c>
      <c r="C670" t="s">
        <v>1</v>
      </c>
      <c r="D670" t="s">
        <v>16</v>
      </c>
      <c r="E670" t="s">
        <v>24</v>
      </c>
      <c r="F670" t="s">
        <v>22</v>
      </c>
      <c r="G670" t="s">
        <v>13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759</v>
      </c>
      <c r="B671" s="1">
        <v>45794</v>
      </c>
      <c r="C671" t="s">
        <v>1</v>
      </c>
      <c r="D671" t="s">
        <v>16</v>
      </c>
      <c r="E671" t="s">
        <v>25</v>
      </c>
      <c r="F671" t="s">
        <v>14</v>
      </c>
      <c r="G671" t="s">
        <v>13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758</v>
      </c>
      <c r="B672" s="1">
        <v>45777</v>
      </c>
      <c r="C672" t="s">
        <v>1</v>
      </c>
      <c r="D672" t="s">
        <v>20</v>
      </c>
      <c r="E672" t="s">
        <v>25</v>
      </c>
      <c r="F672" t="s">
        <v>14</v>
      </c>
      <c r="G672" t="s">
        <v>17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757</v>
      </c>
      <c r="B673" s="1">
        <v>45738</v>
      </c>
      <c r="C673" t="s">
        <v>1</v>
      </c>
      <c r="D673" t="s">
        <v>21</v>
      </c>
      <c r="E673" t="s">
        <v>15</v>
      </c>
      <c r="F673" t="s">
        <v>27</v>
      </c>
      <c r="G673" t="s">
        <v>17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756</v>
      </c>
      <c r="B674" s="1">
        <v>45667</v>
      </c>
      <c r="C674" t="s">
        <v>1</v>
      </c>
      <c r="D674" t="s">
        <v>21</v>
      </c>
      <c r="E674" t="s">
        <v>32</v>
      </c>
      <c r="F674" t="s">
        <v>14</v>
      </c>
      <c r="G674" t="s">
        <v>17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755</v>
      </c>
      <c r="B675" s="1">
        <v>45737</v>
      </c>
      <c r="C675" t="s">
        <v>1</v>
      </c>
      <c r="D675" t="s">
        <v>19</v>
      </c>
      <c r="E675" t="s">
        <v>32</v>
      </c>
      <c r="F675" t="s">
        <v>14</v>
      </c>
      <c r="G675" t="s">
        <v>17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754</v>
      </c>
      <c r="B676" s="1">
        <v>45789</v>
      </c>
      <c r="C676" t="s">
        <v>1</v>
      </c>
      <c r="D676" t="s">
        <v>16</v>
      </c>
      <c r="E676" t="s">
        <v>25</v>
      </c>
      <c r="F676" t="s">
        <v>14</v>
      </c>
      <c r="G676" t="s">
        <v>13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753</v>
      </c>
      <c r="B677" s="1">
        <v>45801</v>
      </c>
      <c r="C677" t="s">
        <v>1</v>
      </c>
      <c r="D677" t="s">
        <v>21</v>
      </c>
      <c r="E677" t="s">
        <v>15</v>
      </c>
      <c r="F677" t="s">
        <v>14</v>
      </c>
      <c r="G677" t="s">
        <v>17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752</v>
      </c>
      <c r="B678" s="1">
        <v>45780</v>
      </c>
      <c r="C678" t="s">
        <v>1</v>
      </c>
      <c r="D678" t="s">
        <v>21</v>
      </c>
      <c r="E678" t="s">
        <v>24</v>
      </c>
      <c r="F678" t="s">
        <v>18</v>
      </c>
      <c r="G678" t="s">
        <v>17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751</v>
      </c>
      <c r="B679" s="1">
        <v>45671</v>
      </c>
      <c r="C679" t="s">
        <v>1</v>
      </c>
      <c r="D679" t="s">
        <v>19</v>
      </c>
      <c r="E679" t="s">
        <v>15</v>
      </c>
      <c r="F679" t="s">
        <v>18</v>
      </c>
      <c r="G679" t="s">
        <v>13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750</v>
      </c>
      <c r="B680" s="1">
        <v>45743</v>
      </c>
      <c r="C680" t="s">
        <v>1</v>
      </c>
      <c r="D680" t="s">
        <v>21</v>
      </c>
      <c r="E680" t="s">
        <v>15</v>
      </c>
      <c r="F680" t="s">
        <v>22</v>
      </c>
      <c r="G680" t="s">
        <v>13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749</v>
      </c>
      <c r="B681" s="1">
        <v>45716</v>
      </c>
      <c r="C681" t="s">
        <v>1</v>
      </c>
      <c r="D681" t="s">
        <v>16</v>
      </c>
      <c r="E681" t="s">
        <v>25</v>
      </c>
      <c r="F681" t="s">
        <v>27</v>
      </c>
      <c r="G681" t="s">
        <v>29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748</v>
      </c>
      <c r="B682" s="1">
        <v>45789</v>
      </c>
      <c r="C682" t="s">
        <v>1</v>
      </c>
      <c r="D682" t="s">
        <v>21</v>
      </c>
      <c r="E682" t="s">
        <v>25</v>
      </c>
      <c r="F682" t="s">
        <v>27</v>
      </c>
      <c r="G682" t="s">
        <v>29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747</v>
      </c>
      <c r="B683" s="1">
        <v>45730</v>
      </c>
      <c r="C683" t="s">
        <v>1</v>
      </c>
      <c r="D683" t="s">
        <v>16</v>
      </c>
      <c r="E683" t="s">
        <v>15</v>
      </c>
      <c r="F683" t="s">
        <v>18</v>
      </c>
      <c r="G683" t="s">
        <v>17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746</v>
      </c>
      <c r="B684" s="1">
        <v>45797</v>
      </c>
      <c r="C684" t="s">
        <v>1</v>
      </c>
      <c r="D684" t="s">
        <v>20</v>
      </c>
      <c r="E684" t="s">
        <v>15</v>
      </c>
      <c r="F684" t="s">
        <v>18</v>
      </c>
      <c r="G684" t="s">
        <v>13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745</v>
      </c>
      <c r="B685" s="1">
        <v>45712</v>
      </c>
      <c r="C685" t="s">
        <v>1</v>
      </c>
      <c r="D685" t="s">
        <v>19</v>
      </c>
      <c r="E685" t="s">
        <v>25</v>
      </c>
      <c r="F685" t="s">
        <v>27</v>
      </c>
      <c r="G685" t="s">
        <v>17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744</v>
      </c>
      <c r="B686" s="1">
        <v>45701</v>
      </c>
      <c r="C686" t="s">
        <v>1</v>
      </c>
      <c r="D686" t="s">
        <v>21</v>
      </c>
      <c r="E686" t="s">
        <v>15</v>
      </c>
      <c r="F686" t="s">
        <v>18</v>
      </c>
      <c r="G686" t="s">
        <v>29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743</v>
      </c>
      <c r="B687" s="1">
        <v>45694</v>
      </c>
      <c r="C687" t="s">
        <v>1</v>
      </c>
      <c r="D687" t="s">
        <v>19</v>
      </c>
      <c r="E687" t="s">
        <v>25</v>
      </c>
      <c r="F687" t="s">
        <v>18</v>
      </c>
      <c r="G687" t="s">
        <v>17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742</v>
      </c>
      <c r="B688" s="1">
        <v>45718</v>
      </c>
      <c r="C688" t="s">
        <v>1</v>
      </c>
      <c r="D688" t="s">
        <v>16</v>
      </c>
      <c r="E688" t="s">
        <v>15</v>
      </c>
      <c r="F688" t="s">
        <v>22</v>
      </c>
      <c r="G688" t="s">
        <v>13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741</v>
      </c>
      <c r="B689" s="1">
        <v>45775</v>
      </c>
      <c r="C689" t="s">
        <v>1</v>
      </c>
      <c r="D689" t="s">
        <v>20</v>
      </c>
      <c r="E689" t="s">
        <v>25</v>
      </c>
      <c r="F689" t="s">
        <v>14</v>
      </c>
      <c r="G689" t="s">
        <v>17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740</v>
      </c>
      <c r="B690" s="1">
        <v>45804</v>
      </c>
      <c r="C690" t="s">
        <v>1</v>
      </c>
      <c r="D690" t="s">
        <v>16</v>
      </c>
      <c r="E690" t="s">
        <v>25</v>
      </c>
      <c r="F690" t="s">
        <v>32</v>
      </c>
      <c r="G690" t="s">
        <v>29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739</v>
      </c>
      <c r="B691" s="1">
        <v>45754</v>
      </c>
      <c r="C691" t="s">
        <v>1</v>
      </c>
      <c r="D691" t="s">
        <v>19</v>
      </c>
      <c r="E691" t="s">
        <v>25</v>
      </c>
      <c r="F691" t="s">
        <v>18</v>
      </c>
      <c r="G691" t="s">
        <v>13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738</v>
      </c>
      <c r="B692" s="1">
        <v>45761</v>
      </c>
      <c r="C692" t="s">
        <v>2</v>
      </c>
      <c r="D692" t="s">
        <v>20</v>
      </c>
      <c r="E692" t="s">
        <v>25</v>
      </c>
      <c r="F692" t="s">
        <v>22</v>
      </c>
      <c r="G692" t="s">
        <v>13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737</v>
      </c>
      <c r="B693" s="1">
        <v>45786</v>
      </c>
      <c r="C693" t="s">
        <v>2</v>
      </c>
      <c r="D693" t="s">
        <v>20</v>
      </c>
      <c r="E693" t="s">
        <v>25</v>
      </c>
      <c r="F693" t="s">
        <v>18</v>
      </c>
      <c r="G693" t="s">
        <v>13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736</v>
      </c>
      <c r="B694" s="1">
        <v>45737</v>
      </c>
      <c r="C694" t="s">
        <v>2</v>
      </c>
      <c r="D694" t="s">
        <v>16</v>
      </c>
      <c r="E694" t="s">
        <v>15</v>
      </c>
      <c r="F694" t="s">
        <v>18</v>
      </c>
      <c r="G694" t="s">
        <v>17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735</v>
      </c>
      <c r="B695" s="1">
        <v>45743</v>
      </c>
      <c r="C695" t="s">
        <v>2</v>
      </c>
      <c r="D695" t="s">
        <v>16</v>
      </c>
      <c r="E695" t="s">
        <v>25</v>
      </c>
      <c r="F695" t="s">
        <v>22</v>
      </c>
      <c r="G695" t="s">
        <v>17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58.235294117647001</v>
      </c>
    </row>
    <row r="696" spans="1:16">
      <c r="A696" t="s">
        <v>734</v>
      </c>
      <c r="B696" s="1">
        <v>45678</v>
      </c>
      <c r="C696" t="s">
        <v>2</v>
      </c>
      <c r="D696" t="s">
        <v>19</v>
      </c>
      <c r="E696" t="s">
        <v>15</v>
      </c>
      <c r="F696" t="s">
        <v>14</v>
      </c>
      <c r="G696" t="s">
        <v>17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733</v>
      </c>
      <c r="B697" s="1">
        <v>45735</v>
      </c>
      <c r="C697" t="s">
        <v>2</v>
      </c>
      <c r="D697" t="s">
        <v>20</v>
      </c>
      <c r="E697" t="s">
        <v>25</v>
      </c>
      <c r="F697" t="s">
        <v>23</v>
      </c>
      <c r="G697" t="s">
        <v>17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732</v>
      </c>
      <c r="B698" s="1">
        <v>45804</v>
      </c>
      <c r="C698" t="s">
        <v>2</v>
      </c>
      <c r="D698" t="s">
        <v>16</v>
      </c>
      <c r="E698" t="s">
        <v>15</v>
      </c>
      <c r="F698" t="s">
        <v>18</v>
      </c>
      <c r="G698" t="s">
        <v>13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731</v>
      </c>
      <c r="B699" s="1">
        <v>45658</v>
      </c>
      <c r="C699" t="s">
        <v>2</v>
      </c>
      <c r="D699" t="s">
        <v>16</v>
      </c>
      <c r="E699" t="s">
        <v>15</v>
      </c>
      <c r="F699" t="s">
        <v>22</v>
      </c>
      <c r="G699" t="s">
        <v>17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730</v>
      </c>
      <c r="B700" s="1">
        <v>45745</v>
      </c>
      <c r="C700" t="s">
        <v>2</v>
      </c>
      <c r="D700" t="s">
        <v>21</v>
      </c>
      <c r="E700" t="s">
        <v>25</v>
      </c>
      <c r="F700" t="s">
        <v>14</v>
      </c>
      <c r="G700" t="s">
        <v>29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729</v>
      </c>
      <c r="B701" s="1">
        <v>45733</v>
      </c>
      <c r="C701" t="s">
        <v>2</v>
      </c>
      <c r="D701" t="s">
        <v>21</v>
      </c>
      <c r="E701" t="s">
        <v>25</v>
      </c>
      <c r="F701" t="s">
        <v>18</v>
      </c>
      <c r="G701" t="s">
        <v>13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728</v>
      </c>
      <c r="B702" s="1">
        <v>45782</v>
      </c>
      <c r="C702" t="s">
        <v>2</v>
      </c>
      <c r="D702" t="s">
        <v>16</v>
      </c>
      <c r="E702" t="s">
        <v>15</v>
      </c>
      <c r="F702" t="s">
        <v>18</v>
      </c>
      <c r="G702" t="s">
        <v>17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727</v>
      </c>
      <c r="B703" s="1">
        <v>45781</v>
      </c>
      <c r="C703" t="s">
        <v>2</v>
      </c>
      <c r="D703" t="s">
        <v>19</v>
      </c>
      <c r="E703" t="s">
        <v>15</v>
      </c>
      <c r="F703" t="s">
        <v>22</v>
      </c>
      <c r="G703" t="s">
        <v>17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726</v>
      </c>
      <c r="B704" s="1">
        <v>45741</v>
      </c>
      <c r="C704" t="s">
        <v>2</v>
      </c>
      <c r="D704" t="s">
        <v>16</v>
      </c>
      <c r="E704" t="s">
        <v>15</v>
      </c>
      <c r="F704" t="s">
        <v>22</v>
      </c>
      <c r="G704" t="s">
        <v>29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725</v>
      </c>
      <c r="B705" s="1">
        <v>45764</v>
      </c>
      <c r="C705" t="s">
        <v>2</v>
      </c>
      <c r="D705" t="s">
        <v>21</v>
      </c>
      <c r="E705" t="s">
        <v>15</v>
      </c>
      <c r="F705" t="s">
        <v>23</v>
      </c>
      <c r="G705" t="s">
        <v>17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724</v>
      </c>
      <c r="B706" s="1">
        <v>45800</v>
      </c>
      <c r="C706" t="s">
        <v>2</v>
      </c>
      <c r="D706" t="s">
        <v>19</v>
      </c>
      <c r="E706" t="s">
        <v>15</v>
      </c>
      <c r="F706" t="s">
        <v>27</v>
      </c>
      <c r="G706" t="s">
        <v>13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723</v>
      </c>
      <c r="B707" s="1">
        <v>45670</v>
      </c>
      <c r="C707" t="s">
        <v>2</v>
      </c>
      <c r="D707" t="s">
        <v>16</v>
      </c>
      <c r="E707" t="s">
        <v>15</v>
      </c>
      <c r="F707" t="s">
        <v>18</v>
      </c>
      <c r="G707" t="s">
        <v>13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722</v>
      </c>
      <c r="B708" s="1">
        <v>45686</v>
      </c>
      <c r="C708" t="s">
        <v>2</v>
      </c>
      <c r="D708" t="s">
        <v>16</v>
      </c>
      <c r="E708" t="s">
        <v>25</v>
      </c>
      <c r="F708" t="s">
        <v>18</v>
      </c>
      <c r="G708" t="s">
        <v>13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58.235294117647001</v>
      </c>
    </row>
    <row r="709" spans="1:16">
      <c r="A709" t="s">
        <v>721</v>
      </c>
      <c r="B709" s="1">
        <v>45788</v>
      </c>
      <c r="C709" t="s">
        <v>2</v>
      </c>
      <c r="D709" t="s">
        <v>19</v>
      </c>
      <c r="E709" t="s">
        <v>15</v>
      </c>
      <c r="F709" t="s">
        <v>23</v>
      </c>
      <c r="G709" t="s">
        <v>17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720</v>
      </c>
      <c r="B710" s="1">
        <v>45769</v>
      </c>
      <c r="C710" t="s">
        <v>2</v>
      </c>
      <c r="D710" t="s">
        <v>19</v>
      </c>
      <c r="E710" t="s">
        <v>15</v>
      </c>
      <c r="F710" t="s">
        <v>18</v>
      </c>
      <c r="G710" t="s">
        <v>13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719</v>
      </c>
      <c r="B711" s="1">
        <v>45719</v>
      </c>
      <c r="C711" t="s">
        <v>2</v>
      </c>
      <c r="D711" t="s">
        <v>19</v>
      </c>
      <c r="E711" t="s">
        <v>15</v>
      </c>
      <c r="F711" t="s">
        <v>22</v>
      </c>
      <c r="G711" t="s">
        <v>17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718</v>
      </c>
      <c r="B712" s="1">
        <v>45734</v>
      </c>
      <c r="C712" t="s">
        <v>2</v>
      </c>
      <c r="D712" t="s">
        <v>16</v>
      </c>
      <c r="E712" t="s">
        <v>15</v>
      </c>
      <c r="F712" t="s">
        <v>27</v>
      </c>
      <c r="G712" t="s">
        <v>17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717</v>
      </c>
      <c r="B713" s="1">
        <v>45752</v>
      </c>
      <c r="C713" t="s">
        <v>2</v>
      </c>
      <c r="D713" t="s">
        <v>16</v>
      </c>
      <c r="E713" t="s">
        <v>15</v>
      </c>
      <c r="F713" t="s">
        <v>18</v>
      </c>
      <c r="G713" t="s">
        <v>13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716</v>
      </c>
      <c r="B714" s="1">
        <v>45763</v>
      </c>
      <c r="C714" t="s">
        <v>2</v>
      </c>
      <c r="D714" t="s">
        <v>20</v>
      </c>
      <c r="E714" t="s">
        <v>15</v>
      </c>
      <c r="F714" t="s">
        <v>18</v>
      </c>
      <c r="G714" t="s">
        <v>17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715</v>
      </c>
      <c r="B715" s="1">
        <v>45767</v>
      </c>
      <c r="C715" t="s">
        <v>2</v>
      </c>
      <c r="D715" t="s">
        <v>19</v>
      </c>
      <c r="E715" t="s">
        <v>15</v>
      </c>
      <c r="F715" t="s">
        <v>27</v>
      </c>
      <c r="G715" t="s">
        <v>17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714</v>
      </c>
      <c r="B716" s="1">
        <v>45703</v>
      </c>
      <c r="C716" t="s">
        <v>2</v>
      </c>
      <c r="D716" t="s">
        <v>19</v>
      </c>
      <c r="E716" t="s">
        <v>15</v>
      </c>
      <c r="F716" t="s">
        <v>18</v>
      </c>
      <c r="G716" t="s">
        <v>17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713</v>
      </c>
      <c r="B717" s="1">
        <v>45678</v>
      </c>
      <c r="C717" t="s">
        <v>2</v>
      </c>
      <c r="D717" t="s">
        <v>19</v>
      </c>
      <c r="E717" t="s">
        <v>15</v>
      </c>
      <c r="F717" t="s">
        <v>18</v>
      </c>
      <c r="G717" t="s">
        <v>17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712</v>
      </c>
      <c r="B718" s="1">
        <v>45800</v>
      </c>
      <c r="C718" t="s">
        <v>2</v>
      </c>
      <c r="D718" t="s">
        <v>16</v>
      </c>
      <c r="E718" t="s">
        <v>15</v>
      </c>
      <c r="F718" t="s">
        <v>14</v>
      </c>
      <c r="G718" t="s">
        <v>29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711</v>
      </c>
      <c r="B719" s="1">
        <v>45679</v>
      </c>
      <c r="C719" t="s">
        <v>2</v>
      </c>
      <c r="D719" t="s">
        <v>21</v>
      </c>
      <c r="E719" t="s">
        <v>15</v>
      </c>
      <c r="F719" t="s">
        <v>14</v>
      </c>
      <c r="G719" t="s">
        <v>13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710</v>
      </c>
      <c r="B720" s="1">
        <v>45771</v>
      </c>
      <c r="C720" t="s">
        <v>2</v>
      </c>
      <c r="D720" t="s">
        <v>21</v>
      </c>
      <c r="E720" t="s">
        <v>15</v>
      </c>
      <c r="F720" t="s">
        <v>14</v>
      </c>
      <c r="G720" t="s">
        <v>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709</v>
      </c>
      <c r="B721" s="1">
        <v>45674</v>
      </c>
      <c r="C721" t="s">
        <v>2</v>
      </c>
      <c r="D721" t="s">
        <v>21</v>
      </c>
      <c r="E721" t="s">
        <v>25</v>
      </c>
      <c r="F721" t="s">
        <v>23</v>
      </c>
      <c r="G721" t="s">
        <v>17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708</v>
      </c>
      <c r="B722" s="1">
        <v>45679</v>
      </c>
      <c r="C722" t="s">
        <v>2</v>
      </c>
      <c r="D722" t="s">
        <v>20</v>
      </c>
      <c r="E722" t="s">
        <v>15</v>
      </c>
      <c r="F722" t="s">
        <v>27</v>
      </c>
      <c r="G722" t="s">
        <v>13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707</v>
      </c>
      <c r="B723" s="1">
        <v>45781</v>
      </c>
      <c r="C723" t="s">
        <v>2</v>
      </c>
      <c r="D723" t="s">
        <v>20</v>
      </c>
      <c r="E723" t="s">
        <v>25</v>
      </c>
      <c r="F723" t="s">
        <v>14</v>
      </c>
      <c r="G723" t="s">
        <v>17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706</v>
      </c>
      <c r="B724" s="1">
        <v>45729</v>
      </c>
      <c r="C724" t="s">
        <v>2</v>
      </c>
      <c r="D724" t="s">
        <v>19</v>
      </c>
      <c r="E724" t="s">
        <v>15</v>
      </c>
      <c r="F724" t="s">
        <v>32</v>
      </c>
      <c r="G724" t="s">
        <v>17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705</v>
      </c>
      <c r="B725" s="1">
        <v>45659</v>
      </c>
      <c r="C725" t="s">
        <v>2</v>
      </c>
      <c r="D725" t="s">
        <v>16</v>
      </c>
      <c r="E725" t="s">
        <v>15</v>
      </c>
      <c r="F725" t="s">
        <v>18</v>
      </c>
      <c r="G725" t="s">
        <v>13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704</v>
      </c>
      <c r="B726" s="1">
        <v>45670</v>
      </c>
      <c r="C726" t="s">
        <v>2</v>
      </c>
      <c r="D726" t="s">
        <v>20</v>
      </c>
      <c r="E726" t="s">
        <v>15</v>
      </c>
      <c r="F726" t="s">
        <v>14</v>
      </c>
      <c r="G726" t="s">
        <v>13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703</v>
      </c>
      <c r="B727" s="1">
        <v>45697</v>
      </c>
      <c r="C727" t="s">
        <v>2</v>
      </c>
      <c r="D727" t="s">
        <v>20</v>
      </c>
      <c r="E727" t="s">
        <v>15</v>
      </c>
      <c r="F727" t="s">
        <v>22</v>
      </c>
      <c r="G727" t="s">
        <v>17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702</v>
      </c>
      <c r="B728" s="1">
        <v>45756</v>
      </c>
      <c r="C728" t="s">
        <v>2</v>
      </c>
      <c r="D728" t="s">
        <v>20</v>
      </c>
      <c r="E728" t="s">
        <v>25</v>
      </c>
      <c r="F728" t="s">
        <v>22</v>
      </c>
      <c r="G728" t="s">
        <v>17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701</v>
      </c>
      <c r="B729" s="1">
        <v>45659</v>
      </c>
      <c r="C729" t="s">
        <v>2</v>
      </c>
      <c r="D729" t="s">
        <v>19</v>
      </c>
      <c r="E729" t="s">
        <v>15</v>
      </c>
      <c r="F729" t="s">
        <v>14</v>
      </c>
      <c r="G729" t="s">
        <v>17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700</v>
      </c>
      <c r="B730" s="1">
        <v>45692</v>
      </c>
      <c r="C730" t="s">
        <v>2</v>
      </c>
      <c r="D730" t="s">
        <v>19</v>
      </c>
      <c r="E730" t="s">
        <v>15</v>
      </c>
      <c r="F730" t="s">
        <v>32</v>
      </c>
      <c r="G730" t="s">
        <v>29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699</v>
      </c>
      <c r="B731" s="1">
        <v>45707</v>
      </c>
      <c r="C731" t="s">
        <v>2</v>
      </c>
      <c r="D731" t="s">
        <v>19</v>
      </c>
      <c r="E731" t="s">
        <v>24</v>
      </c>
      <c r="F731" t="s">
        <v>14</v>
      </c>
      <c r="G731" t="s">
        <v>17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698</v>
      </c>
      <c r="B732" s="1">
        <v>45748</v>
      </c>
      <c r="C732" t="s">
        <v>2</v>
      </c>
      <c r="D732" t="s">
        <v>20</v>
      </c>
      <c r="E732" t="s">
        <v>15</v>
      </c>
      <c r="F732" t="s">
        <v>14</v>
      </c>
      <c r="G732" t="s">
        <v>13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697</v>
      </c>
      <c r="B733" s="1">
        <v>45686</v>
      </c>
      <c r="C733" t="s">
        <v>2</v>
      </c>
      <c r="D733" t="s">
        <v>16</v>
      </c>
      <c r="E733" t="s">
        <v>15</v>
      </c>
      <c r="F733" t="s">
        <v>27</v>
      </c>
      <c r="G733" t="s">
        <v>17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696</v>
      </c>
      <c r="B734" s="1">
        <v>45795</v>
      </c>
      <c r="C734" t="s">
        <v>2</v>
      </c>
      <c r="D734" t="s">
        <v>16</v>
      </c>
      <c r="E734" t="s">
        <v>15</v>
      </c>
      <c r="F734" t="s">
        <v>27</v>
      </c>
      <c r="G734" t="s">
        <v>13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695</v>
      </c>
      <c r="B735" s="1">
        <v>45762</v>
      </c>
      <c r="C735" t="s">
        <v>2</v>
      </c>
      <c r="D735" t="s">
        <v>20</v>
      </c>
      <c r="E735" t="s">
        <v>25</v>
      </c>
      <c r="F735" t="s">
        <v>22</v>
      </c>
      <c r="G735" t="s">
        <v>29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694</v>
      </c>
      <c r="B736" s="1">
        <v>45744</v>
      </c>
      <c r="C736" t="s">
        <v>2</v>
      </c>
      <c r="D736" t="s">
        <v>20</v>
      </c>
      <c r="E736" t="s">
        <v>25</v>
      </c>
      <c r="F736" t="s">
        <v>23</v>
      </c>
      <c r="G736" t="s">
        <v>17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693</v>
      </c>
      <c r="B737" s="1">
        <v>45748</v>
      </c>
      <c r="C737" t="s">
        <v>2</v>
      </c>
      <c r="D737" t="s">
        <v>21</v>
      </c>
      <c r="E737" t="s">
        <v>15</v>
      </c>
      <c r="F737" t="s">
        <v>14</v>
      </c>
      <c r="G737" t="s">
        <v>13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692</v>
      </c>
      <c r="B738" s="1">
        <v>45699</v>
      </c>
      <c r="C738" t="s">
        <v>2</v>
      </c>
      <c r="D738" t="s">
        <v>21</v>
      </c>
      <c r="E738" t="s">
        <v>15</v>
      </c>
      <c r="F738" t="s">
        <v>22</v>
      </c>
      <c r="G738" t="s">
        <v>13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691</v>
      </c>
      <c r="B739" s="1">
        <v>45720</v>
      </c>
      <c r="C739" t="s">
        <v>2</v>
      </c>
      <c r="D739" t="s">
        <v>19</v>
      </c>
      <c r="E739" t="s">
        <v>15</v>
      </c>
      <c r="F739" t="s">
        <v>18</v>
      </c>
      <c r="G739" t="s">
        <v>17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690</v>
      </c>
      <c r="B740" s="1">
        <v>45678</v>
      </c>
      <c r="C740" t="s">
        <v>2</v>
      </c>
      <c r="D740" t="s">
        <v>16</v>
      </c>
      <c r="E740" t="s">
        <v>24</v>
      </c>
      <c r="F740" t="s">
        <v>22</v>
      </c>
      <c r="G740" t="s">
        <v>13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689</v>
      </c>
      <c r="B741" s="1">
        <v>45702</v>
      </c>
      <c r="C741" t="s">
        <v>2</v>
      </c>
      <c r="D741" t="s">
        <v>16</v>
      </c>
      <c r="E741" t="s">
        <v>15</v>
      </c>
      <c r="F741" t="s">
        <v>27</v>
      </c>
      <c r="G741" t="s">
        <v>17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688</v>
      </c>
      <c r="B742" s="1">
        <v>45746</v>
      </c>
      <c r="C742" t="s">
        <v>2</v>
      </c>
      <c r="D742" t="s">
        <v>16</v>
      </c>
      <c r="E742" t="s">
        <v>25</v>
      </c>
      <c r="F742" t="s">
        <v>32</v>
      </c>
      <c r="G742" t="s">
        <v>29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687</v>
      </c>
      <c r="B743" s="1">
        <v>45665</v>
      </c>
      <c r="C743" t="s">
        <v>2</v>
      </c>
      <c r="D743" t="s">
        <v>16</v>
      </c>
      <c r="E743" t="s">
        <v>15</v>
      </c>
      <c r="F743" t="s">
        <v>27</v>
      </c>
      <c r="G743" t="s">
        <v>17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686</v>
      </c>
      <c r="B744" s="1">
        <v>45695</v>
      </c>
      <c r="C744" t="s">
        <v>2</v>
      </c>
      <c r="D744" t="s">
        <v>16</v>
      </c>
      <c r="E744" t="s">
        <v>15</v>
      </c>
      <c r="F744" t="s">
        <v>22</v>
      </c>
      <c r="G744" t="s">
        <v>17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685</v>
      </c>
      <c r="B745" s="1">
        <v>45689</v>
      </c>
      <c r="C745" t="s">
        <v>2</v>
      </c>
      <c r="D745" t="s">
        <v>16</v>
      </c>
      <c r="E745" t="s">
        <v>24</v>
      </c>
      <c r="F745" t="s">
        <v>14</v>
      </c>
      <c r="G745" t="s">
        <v>13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684</v>
      </c>
      <c r="B746" s="1">
        <v>45661</v>
      </c>
      <c r="C746" t="s">
        <v>2</v>
      </c>
      <c r="D746" t="s">
        <v>20</v>
      </c>
      <c r="E746" t="s">
        <v>15</v>
      </c>
      <c r="F746" t="s">
        <v>23</v>
      </c>
      <c r="G746" t="s">
        <v>17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683</v>
      </c>
      <c r="B747" s="1">
        <v>45793</v>
      </c>
      <c r="C747" t="s">
        <v>2</v>
      </c>
      <c r="D747" t="s">
        <v>19</v>
      </c>
      <c r="E747" t="s">
        <v>25</v>
      </c>
      <c r="F747" t="s">
        <v>27</v>
      </c>
      <c r="G747" t="s">
        <v>17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682</v>
      </c>
      <c r="B748" s="1">
        <v>45716</v>
      </c>
      <c r="C748" t="s">
        <v>2</v>
      </c>
      <c r="D748" t="s">
        <v>21</v>
      </c>
      <c r="E748" t="s">
        <v>15</v>
      </c>
      <c r="F748" t="s">
        <v>27</v>
      </c>
      <c r="G748" t="s">
        <v>17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681</v>
      </c>
      <c r="B749" s="1">
        <v>45759</v>
      </c>
      <c r="C749" t="s">
        <v>2</v>
      </c>
      <c r="D749" t="s">
        <v>16</v>
      </c>
      <c r="E749" t="s">
        <v>15</v>
      </c>
      <c r="F749" t="s">
        <v>27</v>
      </c>
      <c r="G749" t="s">
        <v>17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680</v>
      </c>
      <c r="B750" s="1">
        <v>45739</v>
      </c>
      <c r="C750" t="s">
        <v>2</v>
      </c>
      <c r="D750" t="s">
        <v>19</v>
      </c>
      <c r="E750" t="s">
        <v>25</v>
      </c>
      <c r="F750" t="s">
        <v>18</v>
      </c>
      <c r="G750" t="s">
        <v>17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679</v>
      </c>
      <c r="B751" s="1">
        <v>45806</v>
      </c>
      <c r="C751" t="s">
        <v>2</v>
      </c>
      <c r="D751" t="s">
        <v>16</v>
      </c>
      <c r="E751" t="s">
        <v>24</v>
      </c>
      <c r="F751" t="s">
        <v>18</v>
      </c>
      <c r="G751" t="s">
        <v>17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678</v>
      </c>
      <c r="B752" s="1">
        <v>45798</v>
      </c>
      <c r="C752" t="s">
        <v>2</v>
      </c>
      <c r="D752" t="s">
        <v>19</v>
      </c>
      <c r="E752" t="s">
        <v>25</v>
      </c>
      <c r="F752" t="s">
        <v>18</v>
      </c>
      <c r="G752" t="s">
        <v>13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677</v>
      </c>
      <c r="B753" s="1">
        <v>45662</v>
      </c>
      <c r="C753" t="s">
        <v>2</v>
      </c>
      <c r="D753" t="s">
        <v>19</v>
      </c>
      <c r="E753" t="s">
        <v>15</v>
      </c>
      <c r="F753" t="s">
        <v>27</v>
      </c>
      <c r="G753" t="s">
        <v>29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676</v>
      </c>
      <c r="B754" s="1">
        <v>45735</v>
      </c>
      <c r="C754" t="s">
        <v>2</v>
      </c>
      <c r="D754" t="s">
        <v>20</v>
      </c>
      <c r="E754" t="s">
        <v>24</v>
      </c>
      <c r="F754" t="s">
        <v>18</v>
      </c>
      <c r="G754" t="s">
        <v>17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675</v>
      </c>
      <c r="B755" s="1">
        <v>45771</v>
      </c>
      <c r="C755" t="s">
        <v>2</v>
      </c>
      <c r="D755" t="s">
        <v>20</v>
      </c>
      <c r="E755" t="s">
        <v>15</v>
      </c>
      <c r="F755" t="s">
        <v>18</v>
      </c>
      <c r="G755" t="s">
        <v>17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674</v>
      </c>
      <c r="B756" s="1">
        <v>45726</v>
      </c>
      <c r="C756" t="s">
        <v>2</v>
      </c>
      <c r="D756" t="s">
        <v>16</v>
      </c>
      <c r="E756" t="s">
        <v>24</v>
      </c>
      <c r="F756" t="s">
        <v>18</v>
      </c>
      <c r="G756" t="s">
        <v>17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673</v>
      </c>
      <c r="B757" s="1">
        <v>45710</v>
      </c>
      <c r="C757" t="s">
        <v>2</v>
      </c>
      <c r="D757" t="s">
        <v>19</v>
      </c>
      <c r="E757" t="s">
        <v>24</v>
      </c>
      <c r="F757" t="s">
        <v>27</v>
      </c>
      <c r="G757" t="s">
        <v>13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672</v>
      </c>
      <c r="B758" s="1">
        <v>45794</v>
      </c>
      <c r="C758" t="s">
        <v>2</v>
      </c>
      <c r="D758" t="s">
        <v>20</v>
      </c>
      <c r="E758" t="s">
        <v>15</v>
      </c>
      <c r="F758" t="s">
        <v>22</v>
      </c>
      <c r="G758" t="s">
        <v>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671</v>
      </c>
      <c r="B759" s="1">
        <v>45786</v>
      </c>
      <c r="C759" t="s">
        <v>2</v>
      </c>
      <c r="D759" t="s">
        <v>20</v>
      </c>
      <c r="E759" t="s">
        <v>24</v>
      </c>
      <c r="F759" t="s">
        <v>27</v>
      </c>
      <c r="G759" t="s">
        <v>29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670</v>
      </c>
      <c r="B760" s="1">
        <v>45773</v>
      </c>
      <c r="C760" t="s">
        <v>2</v>
      </c>
      <c r="D760" t="s">
        <v>20</v>
      </c>
      <c r="E760" t="s">
        <v>24</v>
      </c>
      <c r="F760" t="s">
        <v>18</v>
      </c>
      <c r="G760" t="s">
        <v>29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669</v>
      </c>
      <c r="B761" s="1">
        <v>45731</v>
      </c>
      <c r="C761" t="s">
        <v>2</v>
      </c>
      <c r="D761" t="s">
        <v>21</v>
      </c>
      <c r="E761" t="s">
        <v>25</v>
      </c>
      <c r="F761" t="s">
        <v>22</v>
      </c>
      <c r="G761" t="s">
        <v>17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668</v>
      </c>
      <c r="B762" s="1">
        <v>45750</v>
      </c>
      <c r="C762" t="s">
        <v>2</v>
      </c>
      <c r="D762" t="s">
        <v>16</v>
      </c>
      <c r="E762" t="s">
        <v>15</v>
      </c>
      <c r="F762" t="s">
        <v>14</v>
      </c>
      <c r="G762" t="s">
        <v>17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667</v>
      </c>
      <c r="B763" s="1">
        <v>45742</v>
      </c>
      <c r="C763" t="s">
        <v>2</v>
      </c>
      <c r="D763" t="s">
        <v>19</v>
      </c>
      <c r="E763" t="s">
        <v>15</v>
      </c>
      <c r="F763" t="s">
        <v>14</v>
      </c>
      <c r="G763" t="s">
        <v>17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58.235294117647001</v>
      </c>
    </row>
    <row r="764" spans="1:16">
      <c r="A764" t="s">
        <v>666</v>
      </c>
      <c r="B764" s="1">
        <v>45693</v>
      </c>
      <c r="C764" t="s">
        <v>2</v>
      </c>
      <c r="D764" t="s">
        <v>21</v>
      </c>
      <c r="E764" t="s">
        <v>25</v>
      </c>
      <c r="F764" t="s">
        <v>18</v>
      </c>
      <c r="G764" t="s">
        <v>13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665</v>
      </c>
      <c r="B765" s="1">
        <v>45785</v>
      </c>
      <c r="C765" t="s">
        <v>2</v>
      </c>
      <c r="D765" t="s">
        <v>19</v>
      </c>
      <c r="E765" t="s">
        <v>15</v>
      </c>
      <c r="F765" t="s">
        <v>22</v>
      </c>
      <c r="G765" t="s">
        <v>13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664</v>
      </c>
      <c r="B766" s="1">
        <v>45741</v>
      </c>
      <c r="C766" t="s">
        <v>2</v>
      </c>
      <c r="D766" t="s">
        <v>19</v>
      </c>
      <c r="E766" t="s">
        <v>25</v>
      </c>
      <c r="F766" t="s">
        <v>18</v>
      </c>
      <c r="G766" t="s">
        <v>13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663</v>
      </c>
      <c r="B767" s="1">
        <v>45671</v>
      </c>
      <c r="C767" t="s">
        <v>2</v>
      </c>
      <c r="D767" t="s">
        <v>21</v>
      </c>
      <c r="E767" t="s">
        <v>32</v>
      </c>
      <c r="F767" t="s">
        <v>23</v>
      </c>
      <c r="G767" t="s">
        <v>13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662</v>
      </c>
      <c r="B768" s="1">
        <v>45742</v>
      </c>
      <c r="C768" t="s">
        <v>2</v>
      </c>
      <c r="D768" t="s">
        <v>16</v>
      </c>
      <c r="E768" t="s">
        <v>15</v>
      </c>
      <c r="F768" t="s">
        <v>18</v>
      </c>
      <c r="G768" t="s">
        <v>17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661</v>
      </c>
      <c r="B769" s="1">
        <v>45673</v>
      </c>
      <c r="C769" t="s">
        <v>2</v>
      </c>
      <c r="D769" t="s">
        <v>20</v>
      </c>
      <c r="E769" t="s">
        <v>15</v>
      </c>
      <c r="F769" t="s">
        <v>27</v>
      </c>
      <c r="G769" t="s">
        <v>17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660</v>
      </c>
      <c r="B770" s="1">
        <v>45661</v>
      </c>
      <c r="C770" t="s">
        <v>2</v>
      </c>
      <c r="D770" t="s">
        <v>20</v>
      </c>
      <c r="E770" t="s">
        <v>15</v>
      </c>
      <c r="F770" t="s">
        <v>22</v>
      </c>
      <c r="G770" t="s">
        <v>17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659</v>
      </c>
      <c r="B771" s="1">
        <v>45697</v>
      </c>
      <c r="C771" t="s">
        <v>2</v>
      </c>
      <c r="D771" t="s">
        <v>19</v>
      </c>
      <c r="E771" t="s">
        <v>25</v>
      </c>
      <c r="F771" t="s">
        <v>18</v>
      </c>
      <c r="G771" t="s">
        <v>29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658</v>
      </c>
      <c r="B772" s="1">
        <v>45721</v>
      </c>
      <c r="C772" t="s">
        <v>2</v>
      </c>
      <c r="D772" t="s">
        <v>20</v>
      </c>
      <c r="E772" t="s">
        <v>25</v>
      </c>
      <c r="F772" t="s">
        <v>18</v>
      </c>
      <c r="G772" t="s">
        <v>17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657</v>
      </c>
      <c r="B773" s="1">
        <v>45726</v>
      </c>
      <c r="C773" t="s">
        <v>2</v>
      </c>
      <c r="D773" t="s">
        <v>20</v>
      </c>
      <c r="E773" t="s">
        <v>15</v>
      </c>
      <c r="F773" t="s">
        <v>27</v>
      </c>
      <c r="G773" t="s">
        <v>13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656</v>
      </c>
      <c r="B774" s="1">
        <v>45715</v>
      </c>
      <c r="C774" t="s">
        <v>2</v>
      </c>
      <c r="D774" t="s">
        <v>20</v>
      </c>
      <c r="E774" t="s">
        <v>25</v>
      </c>
      <c r="F774" t="s">
        <v>14</v>
      </c>
      <c r="G774" t="s">
        <v>17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655</v>
      </c>
      <c r="B775" s="1">
        <v>45726</v>
      </c>
      <c r="C775" t="s">
        <v>2</v>
      </c>
      <c r="D775" t="s">
        <v>16</v>
      </c>
      <c r="E775" t="s">
        <v>25</v>
      </c>
      <c r="F775" t="s">
        <v>27</v>
      </c>
      <c r="G775" t="s">
        <v>13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654</v>
      </c>
      <c r="B776" s="1">
        <v>45770</v>
      </c>
      <c r="C776" t="s">
        <v>2</v>
      </c>
      <c r="D776" t="s">
        <v>21</v>
      </c>
      <c r="E776" t="s">
        <v>15</v>
      </c>
      <c r="F776" t="s">
        <v>22</v>
      </c>
      <c r="G776" t="s">
        <v>17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653</v>
      </c>
      <c r="B777" s="1">
        <v>45759</v>
      </c>
      <c r="C777" t="s">
        <v>2</v>
      </c>
      <c r="D777" t="s">
        <v>16</v>
      </c>
      <c r="E777" t="s">
        <v>25</v>
      </c>
      <c r="F777" t="s">
        <v>14</v>
      </c>
      <c r="G777" t="s">
        <v>17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652</v>
      </c>
      <c r="B778" s="1">
        <v>45683</v>
      </c>
      <c r="C778" t="s">
        <v>2</v>
      </c>
      <c r="D778" t="s">
        <v>20</v>
      </c>
      <c r="E778" t="s">
        <v>25</v>
      </c>
      <c r="F778" t="s">
        <v>27</v>
      </c>
      <c r="G778" t="s">
        <v>17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651</v>
      </c>
      <c r="B779" s="1">
        <v>45801</v>
      </c>
      <c r="C779" t="s">
        <v>2</v>
      </c>
      <c r="D779" t="s">
        <v>21</v>
      </c>
      <c r="E779" t="s">
        <v>24</v>
      </c>
      <c r="F779" t="s">
        <v>14</v>
      </c>
      <c r="G779" t="s">
        <v>17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650</v>
      </c>
      <c r="B780" s="1">
        <v>45665</v>
      </c>
      <c r="C780" t="s">
        <v>2</v>
      </c>
      <c r="D780" t="s">
        <v>19</v>
      </c>
      <c r="E780" t="s">
        <v>15</v>
      </c>
      <c r="F780" t="s">
        <v>18</v>
      </c>
      <c r="G780" t="s">
        <v>17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649</v>
      </c>
      <c r="B781" s="1">
        <v>45762</v>
      </c>
      <c r="C781" t="s">
        <v>2</v>
      </c>
      <c r="D781" t="s">
        <v>16</v>
      </c>
      <c r="E781" t="s">
        <v>15</v>
      </c>
      <c r="F781" t="s">
        <v>27</v>
      </c>
      <c r="G781" t="s">
        <v>17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648</v>
      </c>
      <c r="B782" s="1">
        <v>45672</v>
      </c>
      <c r="C782" t="s">
        <v>2</v>
      </c>
      <c r="D782" t="s">
        <v>19</v>
      </c>
      <c r="E782" t="s">
        <v>25</v>
      </c>
      <c r="F782" t="s">
        <v>14</v>
      </c>
      <c r="G782" t="s">
        <v>17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647</v>
      </c>
      <c r="B783" s="1">
        <v>45716</v>
      </c>
      <c r="C783" t="s">
        <v>2</v>
      </c>
      <c r="D783" t="s">
        <v>16</v>
      </c>
      <c r="E783" t="s">
        <v>15</v>
      </c>
      <c r="F783" t="s">
        <v>18</v>
      </c>
      <c r="G783" t="s">
        <v>13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646</v>
      </c>
      <c r="B784" s="1">
        <v>45658</v>
      </c>
      <c r="C784" t="s">
        <v>2</v>
      </c>
      <c r="D784" t="s">
        <v>16</v>
      </c>
      <c r="E784" t="s">
        <v>24</v>
      </c>
      <c r="F784" t="s">
        <v>18</v>
      </c>
      <c r="G784" t="s">
        <v>13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645</v>
      </c>
      <c r="B785" s="1">
        <v>45764</v>
      </c>
      <c r="C785" t="s">
        <v>2</v>
      </c>
      <c r="D785" t="s">
        <v>21</v>
      </c>
      <c r="E785" t="s">
        <v>15</v>
      </c>
      <c r="F785" t="s">
        <v>27</v>
      </c>
      <c r="G785" t="s">
        <v>17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644</v>
      </c>
      <c r="B786" s="1">
        <v>45707</v>
      </c>
      <c r="C786" t="s">
        <v>2</v>
      </c>
      <c r="D786" t="s">
        <v>16</v>
      </c>
      <c r="E786" t="s">
        <v>15</v>
      </c>
      <c r="F786" t="s">
        <v>23</v>
      </c>
      <c r="G786" t="s">
        <v>13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643</v>
      </c>
      <c r="B787" s="1">
        <v>45730</v>
      </c>
      <c r="C787" t="s">
        <v>2</v>
      </c>
      <c r="D787" t="s">
        <v>16</v>
      </c>
      <c r="E787" t="s">
        <v>25</v>
      </c>
      <c r="F787" t="s">
        <v>18</v>
      </c>
      <c r="G787" t="s">
        <v>17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642</v>
      </c>
      <c r="B788" s="1">
        <v>45768</v>
      </c>
      <c r="C788" t="s">
        <v>2</v>
      </c>
      <c r="D788" t="s">
        <v>16</v>
      </c>
      <c r="E788" t="s">
        <v>15</v>
      </c>
      <c r="F788" t="s">
        <v>18</v>
      </c>
      <c r="G788" t="s">
        <v>17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641</v>
      </c>
      <c r="B789" s="1">
        <v>45702</v>
      </c>
      <c r="C789" t="s">
        <v>2</v>
      </c>
      <c r="D789" t="s">
        <v>16</v>
      </c>
      <c r="E789" t="s">
        <v>15</v>
      </c>
      <c r="F789" t="s">
        <v>18</v>
      </c>
      <c r="G789" t="s">
        <v>17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640</v>
      </c>
      <c r="B790" s="1">
        <v>45807</v>
      </c>
      <c r="C790" t="s">
        <v>2</v>
      </c>
      <c r="D790" t="s">
        <v>21</v>
      </c>
      <c r="E790" t="s">
        <v>15</v>
      </c>
      <c r="F790" t="s">
        <v>18</v>
      </c>
      <c r="G790" t="s">
        <v>17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639</v>
      </c>
      <c r="B791" s="1">
        <v>45677</v>
      </c>
      <c r="C791" t="s">
        <v>2</v>
      </c>
      <c r="D791" t="s">
        <v>21</v>
      </c>
      <c r="E791" t="s">
        <v>15</v>
      </c>
      <c r="F791" t="s">
        <v>18</v>
      </c>
      <c r="G791" t="s">
        <v>17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638</v>
      </c>
      <c r="B792" s="1">
        <v>45733</v>
      </c>
      <c r="C792" t="s">
        <v>2</v>
      </c>
      <c r="D792" t="s">
        <v>21</v>
      </c>
      <c r="E792" t="s">
        <v>15</v>
      </c>
      <c r="F792" t="s">
        <v>22</v>
      </c>
      <c r="G792" t="s">
        <v>29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637</v>
      </c>
      <c r="B793" s="1">
        <v>45720</v>
      </c>
      <c r="C793" t="s">
        <v>2</v>
      </c>
      <c r="D793" t="s">
        <v>21</v>
      </c>
      <c r="E793" t="s">
        <v>15</v>
      </c>
      <c r="F793" t="s">
        <v>22</v>
      </c>
      <c r="G793" t="s">
        <v>17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636</v>
      </c>
      <c r="B794" s="1">
        <v>45710</v>
      </c>
      <c r="C794" t="s">
        <v>2</v>
      </c>
      <c r="D794" t="s">
        <v>19</v>
      </c>
      <c r="E794" t="s">
        <v>15</v>
      </c>
      <c r="F794" t="s">
        <v>18</v>
      </c>
      <c r="G794" t="s">
        <v>29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635</v>
      </c>
      <c r="B795" s="1">
        <v>45779</v>
      </c>
      <c r="C795" t="s">
        <v>2</v>
      </c>
      <c r="D795" t="s">
        <v>16</v>
      </c>
      <c r="E795" t="s">
        <v>15</v>
      </c>
      <c r="F795" t="s">
        <v>14</v>
      </c>
      <c r="G795" t="s">
        <v>29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634</v>
      </c>
      <c r="B796" s="1">
        <v>45729</v>
      </c>
      <c r="C796" t="s">
        <v>2</v>
      </c>
      <c r="D796" t="s">
        <v>21</v>
      </c>
      <c r="E796" t="s">
        <v>25</v>
      </c>
      <c r="F796" t="s">
        <v>18</v>
      </c>
      <c r="G796" t="s">
        <v>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633</v>
      </c>
      <c r="B797" s="1">
        <v>45808</v>
      </c>
      <c r="C797" t="s">
        <v>2</v>
      </c>
      <c r="D797" t="s">
        <v>19</v>
      </c>
      <c r="E797" t="s">
        <v>15</v>
      </c>
      <c r="F797" t="s">
        <v>18</v>
      </c>
      <c r="G797" t="s">
        <v>13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632</v>
      </c>
      <c r="B798" s="1">
        <v>45723</v>
      </c>
      <c r="C798" t="s">
        <v>2</v>
      </c>
      <c r="D798" t="s">
        <v>21</v>
      </c>
      <c r="E798" t="s">
        <v>25</v>
      </c>
      <c r="F798" t="s">
        <v>22</v>
      </c>
      <c r="G798" t="s">
        <v>17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631</v>
      </c>
      <c r="B799" s="1">
        <v>45710</v>
      </c>
      <c r="C799" t="s">
        <v>2</v>
      </c>
      <c r="D799" t="s">
        <v>21</v>
      </c>
      <c r="E799" t="s">
        <v>15</v>
      </c>
      <c r="F799" t="s">
        <v>14</v>
      </c>
      <c r="G799" t="s">
        <v>13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630</v>
      </c>
      <c r="B800" s="1">
        <v>45662</v>
      </c>
      <c r="C800" t="s">
        <v>2</v>
      </c>
      <c r="D800" t="s">
        <v>21</v>
      </c>
      <c r="E800" t="s">
        <v>25</v>
      </c>
      <c r="F800" t="s">
        <v>14</v>
      </c>
      <c r="G800" t="s">
        <v>17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629</v>
      </c>
      <c r="B801" s="1">
        <v>45678</v>
      </c>
      <c r="C801" t="s">
        <v>2</v>
      </c>
      <c r="D801" t="s">
        <v>21</v>
      </c>
      <c r="E801" t="s">
        <v>15</v>
      </c>
      <c r="F801" t="s">
        <v>27</v>
      </c>
      <c r="G801" t="s">
        <v>17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628</v>
      </c>
      <c r="B802" s="1">
        <v>45682</v>
      </c>
      <c r="C802" t="s">
        <v>2</v>
      </c>
      <c r="D802" t="s">
        <v>16</v>
      </c>
      <c r="E802" t="s">
        <v>25</v>
      </c>
      <c r="F802" t="s">
        <v>22</v>
      </c>
      <c r="G802" t="s">
        <v>17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627</v>
      </c>
      <c r="B803" s="1">
        <v>45751</v>
      </c>
      <c r="C803" t="s">
        <v>2</v>
      </c>
      <c r="D803" t="s">
        <v>21</v>
      </c>
      <c r="E803" t="s">
        <v>15</v>
      </c>
      <c r="F803" t="s">
        <v>14</v>
      </c>
      <c r="G803" t="s">
        <v>13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626</v>
      </c>
      <c r="B804" s="1">
        <v>45741</v>
      </c>
      <c r="C804" t="s">
        <v>2</v>
      </c>
      <c r="D804" t="s">
        <v>16</v>
      </c>
      <c r="E804" t="s">
        <v>25</v>
      </c>
      <c r="F804" t="s">
        <v>22</v>
      </c>
      <c r="G804" t="s">
        <v>29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625</v>
      </c>
      <c r="B805" s="1">
        <v>45735</v>
      </c>
      <c r="C805" t="s">
        <v>2</v>
      </c>
      <c r="D805" t="s">
        <v>21</v>
      </c>
      <c r="E805" t="s">
        <v>15</v>
      </c>
      <c r="F805" t="s">
        <v>22</v>
      </c>
      <c r="G805" t="s">
        <v>17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624</v>
      </c>
      <c r="B806" s="1">
        <v>45771</v>
      </c>
      <c r="C806" t="s">
        <v>2</v>
      </c>
      <c r="D806" t="s">
        <v>21</v>
      </c>
      <c r="E806" t="s">
        <v>25</v>
      </c>
      <c r="F806" t="s">
        <v>18</v>
      </c>
      <c r="G806" t="s">
        <v>17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623</v>
      </c>
      <c r="B807" s="1">
        <v>45751</v>
      </c>
      <c r="C807" t="s">
        <v>2</v>
      </c>
      <c r="D807" t="s">
        <v>19</v>
      </c>
      <c r="E807" t="s">
        <v>24</v>
      </c>
      <c r="F807" t="s">
        <v>18</v>
      </c>
      <c r="G807" t="s">
        <v>17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622</v>
      </c>
      <c r="B808" s="1">
        <v>45744</v>
      </c>
      <c r="C808" t="s">
        <v>2</v>
      </c>
      <c r="D808" t="s">
        <v>19</v>
      </c>
      <c r="E808" t="s">
        <v>25</v>
      </c>
      <c r="F808" t="s">
        <v>14</v>
      </c>
      <c r="G808" t="s">
        <v>29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621</v>
      </c>
      <c r="B809" s="1">
        <v>45792</v>
      </c>
      <c r="C809" t="s">
        <v>2</v>
      </c>
      <c r="D809" t="s">
        <v>19</v>
      </c>
      <c r="E809" t="s">
        <v>24</v>
      </c>
      <c r="F809" t="s">
        <v>14</v>
      </c>
      <c r="G809" t="s">
        <v>17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620</v>
      </c>
      <c r="B810" s="1">
        <v>45729</v>
      </c>
      <c r="C810" t="s">
        <v>2</v>
      </c>
      <c r="D810" t="s">
        <v>21</v>
      </c>
      <c r="E810" t="s">
        <v>15</v>
      </c>
      <c r="F810" t="s">
        <v>14</v>
      </c>
      <c r="G810" t="s">
        <v>17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619</v>
      </c>
      <c r="B811" s="1">
        <v>45742</v>
      </c>
      <c r="C811" t="s">
        <v>2</v>
      </c>
      <c r="D811" t="s">
        <v>16</v>
      </c>
      <c r="E811" t="s">
        <v>15</v>
      </c>
      <c r="F811" t="s">
        <v>22</v>
      </c>
      <c r="G811" t="s">
        <v>29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618</v>
      </c>
      <c r="B812" s="1">
        <v>45666</v>
      </c>
      <c r="C812" t="s">
        <v>2</v>
      </c>
      <c r="D812" t="s">
        <v>16</v>
      </c>
      <c r="E812" t="s">
        <v>15</v>
      </c>
      <c r="F812" t="s">
        <v>22</v>
      </c>
      <c r="G812" t="s">
        <v>13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617</v>
      </c>
      <c r="B813" s="1">
        <v>45783</v>
      </c>
      <c r="C813" t="s">
        <v>2</v>
      </c>
      <c r="D813" t="s">
        <v>19</v>
      </c>
      <c r="E813" t="s">
        <v>25</v>
      </c>
      <c r="F813" t="s">
        <v>14</v>
      </c>
      <c r="G813" t="s">
        <v>17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616</v>
      </c>
      <c r="B814" s="1">
        <v>45705</v>
      </c>
      <c r="C814" t="s">
        <v>2</v>
      </c>
      <c r="D814" t="s">
        <v>19</v>
      </c>
      <c r="E814" t="s">
        <v>15</v>
      </c>
      <c r="F814" t="s">
        <v>18</v>
      </c>
      <c r="G814" t="s">
        <v>17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615</v>
      </c>
      <c r="B815" s="1">
        <v>45752</v>
      </c>
      <c r="C815" t="s">
        <v>2</v>
      </c>
      <c r="D815" t="s">
        <v>20</v>
      </c>
      <c r="E815" t="s">
        <v>15</v>
      </c>
      <c r="F815" t="s">
        <v>14</v>
      </c>
      <c r="G815" t="s">
        <v>17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614</v>
      </c>
      <c r="B816" s="1">
        <v>45760</v>
      </c>
      <c r="C816" t="s">
        <v>2</v>
      </c>
      <c r="D816" t="s">
        <v>21</v>
      </c>
      <c r="E816" t="s">
        <v>24</v>
      </c>
      <c r="F816" t="s">
        <v>18</v>
      </c>
      <c r="G816" t="s">
        <v>17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613</v>
      </c>
      <c r="B817" s="1">
        <v>45797</v>
      </c>
      <c r="C817" t="s">
        <v>2</v>
      </c>
      <c r="D817" t="s">
        <v>20</v>
      </c>
      <c r="E817" t="s">
        <v>25</v>
      </c>
      <c r="F817" t="s">
        <v>27</v>
      </c>
      <c r="G817" t="s">
        <v>17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612</v>
      </c>
      <c r="B818" s="1">
        <v>45747</v>
      </c>
      <c r="C818" t="s">
        <v>2</v>
      </c>
      <c r="D818" t="s">
        <v>20</v>
      </c>
      <c r="E818" t="s">
        <v>15</v>
      </c>
      <c r="F818" t="s">
        <v>23</v>
      </c>
      <c r="G818" t="s">
        <v>17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611</v>
      </c>
      <c r="B819" s="1">
        <v>45750</v>
      </c>
      <c r="C819" t="s">
        <v>2</v>
      </c>
      <c r="D819" t="s">
        <v>21</v>
      </c>
      <c r="E819" t="s">
        <v>24</v>
      </c>
      <c r="F819" t="s">
        <v>14</v>
      </c>
      <c r="G819" t="s">
        <v>13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610</v>
      </c>
      <c r="B820" s="1">
        <v>45692</v>
      </c>
      <c r="C820" t="s">
        <v>2</v>
      </c>
      <c r="D820" t="s">
        <v>19</v>
      </c>
      <c r="E820" t="s">
        <v>15</v>
      </c>
      <c r="F820" t="s">
        <v>18</v>
      </c>
      <c r="G820" t="s">
        <v>17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609</v>
      </c>
      <c r="B821" s="1">
        <v>45796</v>
      </c>
      <c r="C821" t="s">
        <v>2</v>
      </c>
      <c r="D821" t="s">
        <v>20</v>
      </c>
      <c r="E821" t="s">
        <v>15</v>
      </c>
      <c r="F821" t="s">
        <v>18</v>
      </c>
      <c r="G821" t="s">
        <v>17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608</v>
      </c>
      <c r="B822" s="1">
        <v>45724</v>
      </c>
      <c r="C822" t="s">
        <v>2</v>
      </c>
      <c r="D822" t="s">
        <v>20</v>
      </c>
      <c r="E822" t="s">
        <v>25</v>
      </c>
      <c r="F822" t="s">
        <v>14</v>
      </c>
      <c r="G822" t="s">
        <v>13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607</v>
      </c>
      <c r="B823" s="1">
        <v>45787</v>
      </c>
      <c r="C823" t="s">
        <v>2</v>
      </c>
      <c r="D823" t="s">
        <v>16</v>
      </c>
      <c r="E823" t="s">
        <v>15</v>
      </c>
      <c r="F823" t="s">
        <v>22</v>
      </c>
      <c r="G823" t="s">
        <v>13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606</v>
      </c>
      <c r="B824" s="1">
        <v>45659</v>
      </c>
      <c r="C824" t="s">
        <v>2</v>
      </c>
      <c r="D824" t="s">
        <v>20</v>
      </c>
      <c r="E824" t="s">
        <v>25</v>
      </c>
      <c r="F824" t="s">
        <v>22</v>
      </c>
      <c r="G824" t="s">
        <v>13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605</v>
      </c>
      <c r="B825" s="1">
        <v>45674</v>
      </c>
      <c r="C825" t="s">
        <v>2</v>
      </c>
      <c r="D825" t="s">
        <v>21</v>
      </c>
      <c r="E825" t="s">
        <v>15</v>
      </c>
      <c r="F825" t="s">
        <v>18</v>
      </c>
      <c r="G825" t="s">
        <v>13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604</v>
      </c>
      <c r="B826" s="1">
        <v>45798</v>
      </c>
      <c r="C826" t="s">
        <v>2</v>
      </c>
      <c r="D826" t="s">
        <v>21</v>
      </c>
      <c r="E826" t="s">
        <v>15</v>
      </c>
      <c r="F826" t="s">
        <v>27</v>
      </c>
      <c r="G826" t="s">
        <v>13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603</v>
      </c>
      <c r="B827" s="1">
        <v>45802</v>
      </c>
      <c r="C827" t="s">
        <v>2</v>
      </c>
      <c r="D827" t="s">
        <v>20</v>
      </c>
      <c r="E827" t="s">
        <v>25</v>
      </c>
      <c r="F827" t="s">
        <v>27</v>
      </c>
      <c r="G827" t="s">
        <v>17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602</v>
      </c>
      <c r="B828" s="1">
        <v>45662</v>
      </c>
      <c r="C828" t="s">
        <v>2</v>
      </c>
      <c r="D828" t="s">
        <v>21</v>
      </c>
      <c r="E828" t="s">
        <v>15</v>
      </c>
      <c r="F828" t="s">
        <v>23</v>
      </c>
      <c r="G828" t="s">
        <v>13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601</v>
      </c>
      <c r="B829" s="1">
        <v>45712</v>
      </c>
      <c r="C829" t="s">
        <v>2</v>
      </c>
      <c r="D829" t="s">
        <v>19</v>
      </c>
      <c r="E829" t="s">
        <v>25</v>
      </c>
      <c r="F829" t="s">
        <v>18</v>
      </c>
      <c r="G829" t="s">
        <v>17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600</v>
      </c>
      <c r="B830" s="1">
        <v>45678</v>
      </c>
      <c r="C830" t="s">
        <v>2</v>
      </c>
      <c r="D830" t="s">
        <v>20</v>
      </c>
      <c r="E830" t="s">
        <v>15</v>
      </c>
      <c r="F830" t="s">
        <v>14</v>
      </c>
      <c r="G830" t="s">
        <v>13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599</v>
      </c>
      <c r="B831" s="1">
        <v>45771</v>
      </c>
      <c r="C831" t="s">
        <v>2</v>
      </c>
      <c r="D831" t="s">
        <v>16</v>
      </c>
      <c r="E831" t="s">
        <v>15</v>
      </c>
      <c r="F831" t="s">
        <v>18</v>
      </c>
      <c r="G831" t="s">
        <v>13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598</v>
      </c>
      <c r="B832" s="1">
        <v>45664</v>
      </c>
      <c r="C832" t="s">
        <v>2</v>
      </c>
      <c r="D832" t="s">
        <v>21</v>
      </c>
      <c r="E832" t="s">
        <v>25</v>
      </c>
      <c r="F832" t="s">
        <v>18</v>
      </c>
      <c r="G832" t="s">
        <v>17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597</v>
      </c>
      <c r="B833" s="1">
        <v>45808</v>
      </c>
      <c r="C833" t="s">
        <v>2</v>
      </c>
      <c r="D833" t="s">
        <v>19</v>
      </c>
      <c r="E833" t="s">
        <v>24</v>
      </c>
      <c r="F833" t="s">
        <v>18</v>
      </c>
      <c r="G833" t="s">
        <v>13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596</v>
      </c>
      <c r="B834" s="1">
        <v>45749</v>
      </c>
      <c r="C834" t="s">
        <v>2</v>
      </c>
      <c r="D834" t="s">
        <v>16</v>
      </c>
      <c r="E834" t="s">
        <v>25</v>
      </c>
      <c r="F834" t="s">
        <v>18</v>
      </c>
      <c r="G834" t="s">
        <v>13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595</v>
      </c>
      <c r="B835" s="1">
        <v>45768</v>
      </c>
      <c r="C835" t="s">
        <v>2</v>
      </c>
      <c r="D835" t="s">
        <v>20</v>
      </c>
      <c r="E835" t="s">
        <v>15</v>
      </c>
      <c r="F835" t="s">
        <v>18</v>
      </c>
      <c r="G835" t="s">
        <v>17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594</v>
      </c>
      <c r="B836" s="1">
        <v>45782</v>
      </c>
      <c r="C836" t="s">
        <v>2</v>
      </c>
      <c r="D836" t="s">
        <v>20</v>
      </c>
      <c r="E836" t="s">
        <v>15</v>
      </c>
      <c r="F836" t="s">
        <v>14</v>
      </c>
      <c r="G836" t="s">
        <v>13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593</v>
      </c>
      <c r="B837" s="1">
        <v>45663</v>
      </c>
      <c r="C837" t="s">
        <v>2</v>
      </c>
      <c r="D837" t="s">
        <v>16</v>
      </c>
      <c r="E837" t="s">
        <v>25</v>
      </c>
      <c r="F837" t="s">
        <v>22</v>
      </c>
      <c r="G837" t="s">
        <v>17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592</v>
      </c>
      <c r="B838" s="1">
        <v>45771</v>
      </c>
      <c r="C838" t="s">
        <v>2</v>
      </c>
      <c r="D838" t="s">
        <v>19</v>
      </c>
      <c r="E838" t="s">
        <v>15</v>
      </c>
      <c r="F838" t="s">
        <v>27</v>
      </c>
      <c r="G838" t="s">
        <v>17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591</v>
      </c>
      <c r="B839" s="1">
        <v>45768</v>
      </c>
      <c r="C839" t="s">
        <v>2</v>
      </c>
      <c r="D839" t="s">
        <v>19</v>
      </c>
      <c r="E839" t="s">
        <v>15</v>
      </c>
      <c r="F839" t="s">
        <v>18</v>
      </c>
      <c r="G839" t="s">
        <v>13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590</v>
      </c>
      <c r="B840" s="1">
        <v>45697</v>
      </c>
      <c r="C840" t="s">
        <v>2</v>
      </c>
      <c r="D840" t="s">
        <v>21</v>
      </c>
      <c r="E840" t="s">
        <v>15</v>
      </c>
      <c r="F840" t="s">
        <v>18</v>
      </c>
      <c r="G840" t="s">
        <v>13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589</v>
      </c>
      <c r="B841" s="1">
        <v>45666</v>
      </c>
      <c r="C841" t="s">
        <v>2</v>
      </c>
      <c r="D841" t="s">
        <v>20</v>
      </c>
      <c r="E841" t="s">
        <v>15</v>
      </c>
      <c r="F841" t="s">
        <v>18</v>
      </c>
      <c r="G841" t="s">
        <v>29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588</v>
      </c>
      <c r="B842" s="1">
        <v>45704</v>
      </c>
      <c r="C842" t="s">
        <v>2</v>
      </c>
      <c r="D842" t="s">
        <v>16</v>
      </c>
      <c r="E842" t="s">
        <v>15</v>
      </c>
      <c r="F842" t="s">
        <v>14</v>
      </c>
      <c r="G842" t="s">
        <v>13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587</v>
      </c>
      <c r="B843" s="1">
        <v>45709</v>
      </c>
      <c r="C843" t="s">
        <v>2</v>
      </c>
      <c r="D843" t="s">
        <v>19</v>
      </c>
      <c r="E843" t="s">
        <v>15</v>
      </c>
      <c r="F843" t="s">
        <v>18</v>
      </c>
      <c r="G843" t="s">
        <v>17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586</v>
      </c>
      <c r="B844" s="1">
        <v>45696</v>
      </c>
      <c r="C844" t="s">
        <v>2</v>
      </c>
      <c r="D844" t="s">
        <v>19</v>
      </c>
      <c r="E844" t="s">
        <v>15</v>
      </c>
      <c r="F844" t="s">
        <v>18</v>
      </c>
      <c r="G844" t="s">
        <v>29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58.235294117647001</v>
      </c>
    </row>
    <row r="845" spans="1:16">
      <c r="A845" t="s">
        <v>585</v>
      </c>
      <c r="B845" s="1">
        <v>45679</v>
      </c>
      <c r="C845" t="s">
        <v>2</v>
      </c>
      <c r="D845" t="s">
        <v>19</v>
      </c>
      <c r="E845" t="s">
        <v>15</v>
      </c>
      <c r="F845" t="s">
        <v>14</v>
      </c>
      <c r="G845" t="s">
        <v>29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584</v>
      </c>
      <c r="B846" s="1">
        <v>45748</v>
      </c>
      <c r="C846" t="s">
        <v>2</v>
      </c>
      <c r="D846" t="s">
        <v>21</v>
      </c>
      <c r="E846" t="s">
        <v>15</v>
      </c>
      <c r="F846" t="s">
        <v>18</v>
      </c>
      <c r="G846" t="s">
        <v>13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583</v>
      </c>
      <c r="B847" s="1">
        <v>45678</v>
      </c>
      <c r="C847" t="s">
        <v>2</v>
      </c>
      <c r="D847" t="s">
        <v>16</v>
      </c>
      <c r="E847" t="s">
        <v>15</v>
      </c>
      <c r="F847" t="s">
        <v>14</v>
      </c>
      <c r="G847" t="s">
        <v>13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582</v>
      </c>
      <c r="B848" s="1">
        <v>45659</v>
      </c>
      <c r="C848" t="s">
        <v>2</v>
      </c>
      <c r="D848" t="s">
        <v>20</v>
      </c>
      <c r="E848" t="s">
        <v>25</v>
      </c>
      <c r="F848" t="s">
        <v>18</v>
      </c>
      <c r="G848" t="s">
        <v>17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581</v>
      </c>
      <c r="B849" s="1">
        <v>45789</v>
      </c>
      <c r="C849" t="s">
        <v>2</v>
      </c>
      <c r="D849" t="s">
        <v>19</v>
      </c>
      <c r="E849" t="s">
        <v>25</v>
      </c>
      <c r="F849" t="s">
        <v>14</v>
      </c>
      <c r="G849" t="s">
        <v>17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580</v>
      </c>
      <c r="B850" s="1">
        <v>45721</v>
      </c>
      <c r="C850" t="s">
        <v>2</v>
      </c>
      <c r="D850" t="s">
        <v>19</v>
      </c>
      <c r="E850" t="s">
        <v>15</v>
      </c>
      <c r="F850" t="s">
        <v>22</v>
      </c>
      <c r="G850" t="s">
        <v>13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579</v>
      </c>
      <c r="B851" s="1">
        <v>45681</v>
      </c>
      <c r="C851" t="s">
        <v>2</v>
      </c>
      <c r="D851" t="s">
        <v>20</v>
      </c>
      <c r="E851" t="s">
        <v>15</v>
      </c>
      <c r="F851" t="s">
        <v>18</v>
      </c>
      <c r="G851" t="s">
        <v>17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578</v>
      </c>
      <c r="B852" s="1">
        <v>45688</v>
      </c>
      <c r="C852" t="s">
        <v>2</v>
      </c>
      <c r="D852" t="s">
        <v>20</v>
      </c>
      <c r="E852" t="s">
        <v>25</v>
      </c>
      <c r="F852" t="s">
        <v>23</v>
      </c>
      <c r="G852" t="s">
        <v>17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577</v>
      </c>
      <c r="B853" s="1">
        <v>45681</v>
      </c>
      <c r="C853" t="s">
        <v>2</v>
      </c>
      <c r="D853" t="s">
        <v>16</v>
      </c>
      <c r="E853" t="s">
        <v>24</v>
      </c>
      <c r="F853" t="s">
        <v>18</v>
      </c>
      <c r="G853" t="s">
        <v>13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576</v>
      </c>
      <c r="B854" s="1">
        <v>45702</v>
      </c>
      <c r="C854" t="s">
        <v>2</v>
      </c>
      <c r="D854" t="s">
        <v>16</v>
      </c>
      <c r="E854" t="s">
        <v>25</v>
      </c>
      <c r="F854" t="s">
        <v>27</v>
      </c>
      <c r="G854" t="s">
        <v>13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575</v>
      </c>
      <c r="B855" s="1">
        <v>45804</v>
      </c>
      <c r="C855" t="s">
        <v>2</v>
      </c>
      <c r="D855" t="s">
        <v>16</v>
      </c>
      <c r="E855" t="s">
        <v>15</v>
      </c>
      <c r="F855" t="s">
        <v>18</v>
      </c>
      <c r="G855" t="s">
        <v>17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574</v>
      </c>
      <c r="B856" s="1">
        <v>45716</v>
      </c>
      <c r="C856" t="s">
        <v>2</v>
      </c>
      <c r="D856" t="s">
        <v>16</v>
      </c>
      <c r="E856" t="s">
        <v>15</v>
      </c>
      <c r="F856" t="s">
        <v>14</v>
      </c>
      <c r="G856" t="s">
        <v>17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573</v>
      </c>
      <c r="B857" s="1">
        <v>45804</v>
      </c>
      <c r="C857" t="s">
        <v>2</v>
      </c>
      <c r="D857" t="s">
        <v>16</v>
      </c>
      <c r="E857" t="s">
        <v>15</v>
      </c>
      <c r="F857" t="s">
        <v>18</v>
      </c>
      <c r="G857" t="s">
        <v>13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572</v>
      </c>
      <c r="B858" s="1">
        <v>45794</v>
      </c>
      <c r="C858" t="s">
        <v>2</v>
      </c>
      <c r="D858" t="s">
        <v>19</v>
      </c>
      <c r="E858" t="s">
        <v>15</v>
      </c>
      <c r="F858" t="s">
        <v>14</v>
      </c>
      <c r="G858" t="s">
        <v>29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571</v>
      </c>
      <c r="B859" s="1">
        <v>45667</v>
      </c>
      <c r="C859" t="s">
        <v>2</v>
      </c>
      <c r="D859" t="s">
        <v>21</v>
      </c>
      <c r="E859" t="s">
        <v>25</v>
      </c>
      <c r="F859" t="s">
        <v>22</v>
      </c>
      <c r="G859" t="s">
        <v>17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570</v>
      </c>
      <c r="B860" s="1">
        <v>45769</v>
      </c>
      <c r="C860" t="s">
        <v>2</v>
      </c>
      <c r="D860" t="s">
        <v>16</v>
      </c>
      <c r="E860" t="s">
        <v>15</v>
      </c>
      <c r="F860" t="s">
        <v>23</v>
      </c>
      <c r="G860" t="s">
        <v>13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569</v>
      </c>
      <c r="B861" s="1">
        <v>45718</v>
      </c>
      <c r="C861" t="s">
        <v>2</v>
      </c>
      <c r="D861" t="s">
        <v>19</v>
      </c>
      <c r="E861" t="s">
        <v>25</v>
      </c>
      <c r="F861" t="s">
        <v>18</v>
      </c>
      <c r="G861" t="s">
        <v>13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568</v>
      </c>
      <c r="B862" s="1">
        <v>45739</v>
      </c>
      <c r="C862" t="s">
        <v>2</v>
      </c>
      <c r="D862" t="s">
        <v>20</v>
      </c>
      <c r="E862" t="s">
        <v>15</v>
      </c>
      <c r="F862" t="s">
        <v>14</v>
      </c>
      <c r="G862" t="s">
        <v>17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567</v>
      </c>
      <c r="B863" s="1">
        <v>45700</v>
      </c>
      <c r="C863" t="s">
        <v>2</v>
      </c>
      <c r="D863" t="s">
        <v>20</v>
      </c>
      <c r="E863" t="s">
        <v>15</v>
      </c>
      <c r="F863" t="s">
        <v>23</v>
      </c>
      <c r="G863" t="s">
        <v>17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566</v>
      </c>
      <c r="B864" s="1">
        <v>45780</v>
      </c>
      <c r="C864" t="s">
        <v>2</v>
      </c>
      <c r="D864" t="s">
        <v>19</v>
      </c>
      <c r="E864" t="s">
        <v>15</v>
      </c>
      <c r="F864" t="s">
        <v>27</v>
      </c>
      <c r="G864" t="s">
        <v>13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565</v>
      </c>
      <c r="B865" s="1">
        <v>45744</v>
      </c>
      <c r="C865" t="s">
        <v>2</v>
      </c>
      <c r="D865" t="s">
        <v>16</v>
      </c>
      <c r="E865" t="s">
        <v>25</v>
      </c>
      <c r="F865" t="s">
        <v>22</v>
      </c>
      <c r="G865" t="s">
        <v>17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564</v>
      </c>
      <c r="B866" s="1">
        <v>45728</v>
      </c>
      <c r="C866" t="s">
        <v>2</v>
      </c>
      <c r="D866" t="s">
        <v>16</v>
      </c>
      <c r="E866" t="s">
        <v>15</v>
      </c>
      <c r="F866" t="s">
        <v>22</v>
      </c>
      <c r="G866" t="s">
        <v>13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563</v>
      </c>
      <c r="B867" s="1">
        <v>45774</v>
      </c>
      <c r="C867" t="s">
        <v>2</v>
      </c>
      <c r="D867" t="s">
        <v>20</v>
      </c>
      <c r="E867" t="s">
        <v>15</v>
      </c>
      <c r="F867" t="s">
        <v>14</v>
      </c>
      <c r="G867" t="s">
        <v>17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562</v>
      </c>
      <c r="B868" s="1">
        <v>45749</v>
      </c>
      <c r="C868" t="s">
        <v>2</v>
      </c>
      <c r="D868" t="s">
        <v>19</v>
      </c>
      <c r="E868" t="s">
        <v>15</v>
      </c>
      <c r="F868" t="s">
        <v>27</v>
      </c>
      <c r="G868" t="s">
        <v>13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561</v>
      </c>
      <c r="B869" s="1">
        <v>45768</v>
      </c>
      <c r="C869" t="s">
        <v>2</v>
      </c>
      <c r="D869" t="s">
        <v>16</v>
      </c>
      <c r="E869" t="s">
        <v>15</v>
      </c>
      <c r="F869" t="s">
        <v>22</v>
      </c>
      <c r="G869" t="s">
        <v>17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560</v>
      </c>
      <c r="B870" s="1">
        <v>45683</v>
      </c>
      <c r="C870" t="s">
        <v>2</v>
      </c>
      <c r="D870" t="s">
        <v>21</v>
      </c>
      <c r="E870" t="s">
        <v>25</v>
      </c>
      <c r="F870" t="s">
        <v>18</v>
      </c>
      <c r="G870" t="s">
        <v>13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559</v>
      </c>
      <c r="B871" s="1">
        <v>45663</v>
      </c>
      <c r="C871" t="s">
        <v>2</v>
      </c>
      <c r="D871" t="s">
        <v>21</v>
      </c>
      <c r="E871" t="s">
        <v>15</v>
      </c>
      <c r="F871" t="s">
        <v>18</v>
      </c>
      <c r="G871" t="s">
        <v>17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558</v>
      </c>
      <c r="B872" s="1">
        <v>45695</v>
      </c>
      <c r="C872" t="s">
        <v>2</v>
      </c>
      <c r="D872" t="s">
        <v>20</v>
      </c>
      <c r="E872" t="s">
        <v>15</v>
      </c>
      <c r="F872" t="s">
        <v>18</v>
      </c>
      <c r="G872" t="s">
        <v>17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557</v>
      </c>
      <c r="B873" s="1">
        <v>45784</v>
      </c>
      <c r="C873" t="s">
        <v>2</v>
      </c>
      <c r="D873" t="s">
        <v>21</v>
      </c>
      <c r="E873" t="s">
        <v>15</v>
      </c>
      <c r="F873" t="s">
        <v>18</v>
      </c>
      <c r="G873" t="s">
        <v>29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556</v>
      </c>
      <c r="B874" s="1">
        <v>45769</v>
      </c>
      <c r="C874" t="s">
        <v>2</v>
      </c>
      <c r="D874" t="s">
        <v>21</v>
      </c>
      <c r="E874" t="s">
        <v>32</v>
      </c>
      <c r="F874" t="s">
        <v>22</v>
      </c>
      <c r="G874" t="s">
        <v>17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555</v>
      </c>
      <c r="B875" s="1">
        <v>45781</v>
      </c>
      <c r="C875" t="s">
        <v>2</v>
      </c>
      <c r="D875" t="s">
        <v>21</v>
      </c>
      <c r="E875" t="s">
        <v>25</v>
      </c>
      <c r="F875" t="s">
        <v>22</v>
      </c>
      <c r="G875" t="s">
        <v>17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554</v>
      </c>
      <c r="B876" s="1">
        <v>45793</v>
      </c>
      <c r="C876" t="s">
        <v>2</v>
      </c>
      <c r="D876" t="s">
        <v>19</v>
      </c>
      <c r="E876" t="s">
        <v>15</v>
      </c>
      <c r="F876" t="s">
        <v>22</v>
      </c>
      <c r="G876" t="s">
        <v>13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553</v>
      </c>
      <c r="B877" s="1">
        <v>45699</v>
      </c>
      <c r="C877" t="s">
        <v>2</v>
      </c>
      <c r="D877" t="s">
        <v>21</v>
      </c>
      <c r="E877" t="s">
        <v>15</v>
      </c>
      <c r="F877" t="s">
        <v>14</v>
      </c>
      <c r="G877" t="s">
        <v>17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552</v>
      </c>
      <c r="B878" s="1">
        <v>45786</v>
      </c>
      <c r="C878" t="s">
        <v>2</v>
      </c>
      <c r="D878" t="s">
        <v>20</v>
      </c>
      <c r="E878" t="s">
        <v>25</v>
      </c>
      <c r="F878" t="s">
        <v>18</v>
      </c>
      <c r="G878" t="s">
        <v>29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551</v>
      </c>
      <c r="B879" s="1">
        <v>45697</v>
      </c>
      <c r="C879" t="s">
        <v>2</v>
      </c>
      <c r="D879" t="s">
        <v>19</v>
      </c>
      <c r="E879" t="s">
        <v>25</v>
      </c>
      <c r="F879" t="s">
        <v>14</v>
      </c>
      <c r="G879" t="s">
        <v>17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550</v>
      </c>
      <c r="B880" s="1">
        <v>45799</v>
      </c>
      <c r="C880" t="s">
        <v>2</v>
      </c>
      <c r="D880" t="s">
        <v>21</v>
      </c>
      <c r="E880" t="s">
        <v>15</v>
      </c>
      <c r="F880" t="s">
        <v>22</v>
      </c>
      <c r="G880" t="s">
        <v>13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549</v>
      </c>
      <c r="B881" s="1">
        <v>45801</v>
      </c>
      <c r="C881" t="s">
        <v>2</v>
      </c>
      <c r="D881" t="s">
        <v>20</v>
      </c>
      <c r="E881" t="s">
        <v>15</v>
      </c>
      <c r="F881" t="s">
        <v>22</v>
      </c>
      <c r="G881" t="s">
        <v>13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548</v>
      </c>
      <c r="B882" s="1">
        <v>45774</v>
      </c>
      <c r="C882" t="s">
        <v>2</v>
      </c>
      <c r="D882" t="s">
        <v>19</v>
      </c>
      <c r="E882" t="s">
        <v>25</v>
      </c>
      <c r="F882" t="s">
        <v>22</v>
      </c>
      <c r="G882" t="s">
        <v>13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547</v>
      </c>
      <c r="B883" s="1">
        <v>45735</v>
      </c>
      <c r="C883" t="s">
        <v>2</v>
      </c>
      <c r="D883" t="s">
        <v>20</v>
      </c>
      <c r="E883" t="s">
        <v>15</v>
      </c>
      <c r="F883" t="s">
        <v>14</v>
      </c>
      <c r="G883" t="s">
        <v>17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546</v>
      </c>
      <c r="B884" s="1">
        <v>45797</v>
      </c>
      <c r="C884" t="s">
        <v>2</v>
      </c>
      <c r="D884" t="s">
        <v>19</v>
      </c>
      <c r="E884" t="s">
        <v>15</v>
      </c>
      <c r="F884" t="s">
        <v>18</v>
      </c>
      <c r="G884" t="s">
        <v>29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545</v>
      </c>
      <c r="B885" s="1">
        <v>45787</v>
      </c>
      <c r="C885" t="s">
        <v>2</v>
      </c>
      <c r="D885" t="s">
        <v>16</v>
      </c>
      <c r="E885" t="s">
        <v>15</v>
      </c>
      <c r="F885" t="s">
        <v>23</v>
      </c>
      <c r="G885" t="s">
        <v>29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544</v>
      </c>
      <c r="B886" s="1">
        <v>45745</v>
      </c>
      <c r="C886" t="s">
        <v>2</v>
      </c>
      <c r="D886" t="s">
        <v>20</v>
      </c>
      <c r="E886" t="s">
        <v>15</v>
      </c>
      <c r="F886" t="s">
        <v>22</v>
      </c>
      <c r="G886" t="s">
        <v>17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543</v>
      </c>
      <c r="B887" s="1">
        <v>45750</v>
      </c>
      <c r="C887" t="s">
        <v>2</v>
      </c>
      <c r="D887" t="s">
        <v>21</v>
      </c>
      <c r="E887" t="s">
        <v>25</v>
      </c>
      <c r="F887" t="s">
        <v>27</v>
      </c>
      <c r="G887" t="s">
        <v>13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542</v>
      </c>
      <c r="B888" s="1">
        <v>45807</v>
      </c>
      <c r="C888" t="s">
        <v>2</v>
      </c>
      <c r="D888" t="s">
        <v>19</v>
      </c>
      <c r="E888" t="s">
        <v>15</v>
      </c>
      <c r="F888" t="s">
        <v>23</v>
      </c>
      <c r="G888" t="s">
        <v>17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541</v>
      </c>
      <c r="B889" s="1">
        <v>45753</v>
      </c>
      <c r="C889" t="s">
        <v>2</v>
      </c>
      <c r="D889" t="s">
        <v>20</v>
      </c>
      <c r="E889" t="s">
        <v>25</v>
      </c>
      <c r="F889" t="s">
        <v>23</v>
      </c>
      <c r="G889" t="s">
        <v>17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540</v>
      </c>
      <c r="B890" s="1">
        <v>45730</v>
      </c>
      <c r="C890" t="s">
        <v>2</v>
      </c>
      <c r="D890" t="s">
        <v>16</v>
      </c>
      <c r="E890" t="s">
        <v>15</v>
      </c>
      <c r="F890" t="s">
        <v>27</v>
      </c>
      <c r="G890" t="s">
        <v>17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539</v>
      </c>
      <c r="B891" s="1">
        <v>45712</v>
      </c>
      <c r="C891" t="s">
        <v>2</v>
      </c>
      <c r="D891" t="s">
        <v>19</v>
      </c>
      <c r="E891" t="s">
        <v>25</v>
      </c>
      <c r="F891" t="s">
        <v>14</v>
      </c>
      <c r="G891" t="s">
        <v>13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538</v>
      </c>
      <c r="B892" s="1">
        <v>45720</v>
      </c>
      <c r="C892" t="s">
        <v>2</v>
      </c>
      <c r="D892" t="s">
        <v>21</v>
      </c>
      <c r="E892" t="s">
        <v>15</v>
      </c>
      <c r="F892" t="s">
        <v>23</v>
      </c>
      <c r="G892" t="s">
        <v>13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537</v>
      </c>
      <c r="B893" s="1">
        <v>45749</v>
      </c>
      <c r="C893" t="s">
        <v>2</v>
      </c>
      <c r="D893" t="s">
        <v>16</v>
      </c>
      <c r="E893" t="s">
        <v>15</v>
      </c>
      <c r="F893" t="s">
        <v>18</v>
      </c>
      <c r="G893" t="s">
        <v>17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536</v>
      </c>
      <c r="B894" s="1">
        <v>45788</v>
      </c>
      <c r="C894" t="s">
        <v>2</v>
      </c>
      <c r="D894" t="s">
        <v>16</v>
      </c>
      <c r="E894" t="s">
        <v>15</v>
      </c>
      <c r="F894" t="s">
        <v>23</v>
      </c>
      <c r="G894" t="s">
        <v>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535</v>
      </c>
      <c r="B895" s="1">
        <v>45787</v>
      </c>
      <c r="C895" t="s">
        <v>2</v>
      </c>
      <c r="D895" t="s">
        <v>21</v>
      </c>
      <c r="E895" t="s">
        <v>24</v>
      </c>
      <c r="F895" t="s">
        <v>14</v>
      </c>
      <c r="G895" t="s">
        <v>13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534</v>
      </c>
      <c r="B896" s="1">
        <v>45783</v>
      </c>
      <c r="C896" t="s">
        <v>2</v>
      </c>
      <c r="D896" t="s">
        <v>21</v>
      </c>
      <c r="E896" t="s">
        <v>15</v>
      </c>
      <c r="F896" t="s">
        <v>27</v>
      </c>
      <c r="G896" t="s">
        <v>17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533</v>
      </c>
      <c r="B897" s="1">
        <v>45699</v>
      </c>
      <c r="C897" t="s">
        <v>2</v>
      </c>
      <c r="D897" t="s">
        <v>21</v>
      </c>
      <c r="E897" t="s">
        <v>25</v>
      </c>
      <c r="F897" t="s">
        <v>14</v>
      </c>
      <c r="G897" t="s">
        <v>17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532</v>
      </c>
      <c r="B898" s="1">
        <v>45786</v>
      </c>
      <c r="C898" t="s">
        <v>2</v>
      </c>
      <c r="D898" t="s">
        <v>19</v>
      </c>
      <c r="E898" t="s">
        <v>15</v>
      </c>
      <c r="F898" t="s">
        <v>14</v>
      </c>
      <c r="G898" t="s">
        <v>29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531</v>
      </c>
      <c r="B899" s="1">
        <v>45690</v>
      </c>
      <c r="C899" t="s">
        <v>2</v>
      </c>
      <c r="D899" t="s">
        <v>19</v>
      </c>
      <c r="E899" t="s">
        <v>15</v>
      </c>
      <c r="F899" t="s">
        <v>32</v>
      </c>
      <c r="G899" t="s">
        <v>17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530</v>
      </c>
      <c r="B900" s="1">
        <v>45750</v>
      </c>
      <c r="C900" t="s">
        <v>2</v>
      </c>
      <c r="D900" t="s">
        <v>19</v>
      </c>
      <c r="E900" t="s">
        <v>15</v>
      </c>
      <c r="F900" t="s">
        <v>22</v>
      </c>
      <c r="G900" t="s">
        <v>17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529</v>
      </c>
      <c r="B901" s="1">
        <v>45703</v>
      </c>
      <c r="C901" t="s">
        <v>2</v>
      </c>
      <c r="D901" t="s">
        <v>16</v>
      </c>
      <c r="E901" t="s">
        <v>25</v>
      </c>
      <c r="F901" t="s">
        <v>18</v>
      </c>
      <c r="G901" t="s">
        <v>13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528</v>
      </c>
      <c r="B902" s="1">
        <v>45765</v>
      </c>
      <c r="C902" t="s">
        <v>2</v>
      </c>
      <c r="D902" t="s">
        <v>19</v>
      </c>
      <c r="E902" t="s">
        <v>25</v>
      </c>
      <c r="F902" t="s">
        <v>18</v>
      </c>
      <c r="G902" t="s">
        <v>17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527</v>
      </c>
      <c r="B903" s="1">
        <v>45730</v>
      </c>
      <c r="C903" t="s">
        <v>2</v>
      </c>
      <c r="D903" t="s">
        <v>21</v>
      </c>
      <c r="E903" t="s">
        <v>25</v>
      </c>
      <c r="F903" t="s">
        <v>18</v>
      </c>
      <c r="G903" t="s">
        <v>29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526</v>
      </c>
      <c r="B904" s="1">
        <v>45745</v>
      </c>
      <c r="C904" t="s">
        <v>2</v>
      </c>
      <c r="D904" t="s">
        <v>19</v>
      </c>
      <c r="E904" t="s">
        <v>15</v>
      </c>
      <c r="F904" t="s">
        <v>27</v>
      </c>
      <c r="G904" t="s">
        <v>17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525</v>
      </c>
      <c r="B905" s="1">
        <v>45701</v>
      </c>
      <c r="C905" t="s">
        <v>2</v>
      </c>
      <c r="D905" t="s">
        <v>16</v>
      </c>
      <c r="E905" t="s">
        <v>25</v>
      </c>
      <c r="F905" t="s">
        <v>18</v>
      </c>
      <c r="G905" t="s">
        <v>17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524</v>
      </c>
      <c r="B906" s="1">
        <v>45680</v>
      </c>
      <c r="C906" t="s">
        <v>2</v>
      </c>
      <c r="D906" t="s">
        <v>19</v>
      </c>
      <c r="E906" t="s">
        <v>15</v>
      </c>
      <c r="F906" t="s">
        <v>14</v>
      </c>
      <c r="G906" t="s">
        <v>17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523</v>
      </c>
      <c r="B907" s="1">
        <v>45712</v>
      </c>
      <c r="C907" t="s">
        <v>2</v>
      </c>
      <c r="D907" t="s">
        <v>20</v>
      </c>
      <c r="E907" t="s">
        <v>15</v>
      </c>
      <c r="F907" t="s">
        <v>22</v>
      </c>
      <c r="G907" t="s">
        <v>17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522</v>
      </c>
      <c r="B908" s="1">
        <v>45716</v>
      </c>
      <c r="C908" t="s">
        <v>2</v>
      </c>
      <c r="D908" t="s">
        <v>21</v>
      </c>
      <c r="E908" t="s">
        <v>15</v>
      </c>
      <c r="F908" t="s">
        <v>14</v>
      </c>
      <c r="G908" t="s">
        <v>17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521</v>
      </c>
      <c r="B909" s="1">
        <v>45664</v>
      </c>
      <c r="C909" t="s">
        <v>2</v>
      </c>
      <c r="D909" t="s">
        <v>21</v>
      </c>
      <c r="E909" t="s">
        <v>24</v>
      </c>
      <c r="F909" t="s">
        <v>18</v>
      </c>
      <c r="G909" t="s">
        <v>13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520</v>
      </c>
      <c r="B910" s="1">
        <v>45737</v>
      </c>
      <c r="C910" t="s">
        <v>2</v>
      </c>
      <c r="D910" t="s">
        <v>21</v>
      </c>
      <c r="E910" t="s">
        <v>25</v>
      </c>
      <c r="F910" t="s">
        <v>23</v>
      </c>
      <c r="G910" t="s">
        <v>17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519</v>
      </c>
      <c r="B911" s="1">
        <v>45706</v>
      </c>
      <c r="C911" t="s">
        <v>2</v>
      </c>
      <c r="D911" t="s">
        <v>16</v>
      </c>
      <c r="E911" t="s">
        <v>25</v>
      </c>
      <c r="F911" t="s">
        <v>18</v>
      </c>
      <c r="G911" t="s">
        <v>13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518</v>
      </c>
      <c r="B912" s="1">
        <v>45662</v>
      </c>
      <c r="C912" t="s">
        <v>2</v>
      </c>
      <c r="D912" t="s">
        <v>16</v>
      </c>
      <c r="E912" t="s">
        <v>15</v>
      </c>
      <c r="F912" t="s">
        <v>14</v>
      </c>
      <c r="G912" t="s">
        <v>17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517</v>
      </c>
      <c r="B913" s="1">
        <v>45727</v>
      </c>
      <c r="C913" t="s">
        <v>2</v>
      </c>
      <c r="D913" t="s">
        <v>20</v>
      </c>
      <c r="E913" t="s">
        <v>25</v>
      </c>
      <c r="F913" t="s">
        <v>18</v>
      </c>
      <c r="G913" t="s">
        <v>13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516</v>
      </c>
      <c r="B914" s="1">
        <v>45666</v>
      </c>
      <c r="C914" t="s">
        <v>2</v>
      </c>
      <c r="D914" t="s">
        <v>16</v>
      </c>
      <c r="E914" t="s">
        <v>25</v>
      </c>
      <c r="F914" t="s">
        <v>18</v>
      </c>
      <c r="G914" t="s">
        <v>13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515</v>
      </c>
      <c r="B915" s="1">
        <v>45665</v>
      </c>
      <c r="C915" t="s">
        <v>2</v>
      </c>
      <c r="D915" t="s">
        <v>19</v>
      </c>
      <c r="E915" t="s">
        <v>15</v>
      </c>
      <c r="F915" t="s">
        <v>18</v>
      </c>
      <c r="G915" t="s">
        <v>17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514</v>
      </c>
      <c r="B916" s="1">
        <v>45778</v>
      </c>
      <c r="C916" t="s">
        <v>2</v>
      </c>
      <c r="D916" t="s">
        <v>20</v>
      </c>
      <c r="E916" t="s">
        <v>25</v>
      </c>
      <c r="F916" t="s">
        <v>14</v>
      </c>
      <c r="G916" t="s">
        <v>17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513</v>
      </c>
      <c r="B917" s="1">
        <v>45719</v>
      </c>
      <c r="C917" t="s">
        <v>2</v>
      </c>
      <c r="D917" t="s">
        <v>19</v>
      </c>
      <c r="E917" t="s">
        <v>15</v>
      </c>
      <c r="F917" t="s">
        <v>22</v>
      </c>
      <c r="G917" t="s">
        <v>17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512</v>
      </c>
      <c r="B918" s="1">
        <v>45711</v>
      </c>
      <c r="C918" t="s">
        <v>2</v>
      </c>
      <c r="D918" t="s">
        <v>21</v>
      </c>
      <c r="E918" t="s">
        <v>25</v>
      </c>
      <c r="F918" t="s">
        <v>22</v>
      </c>
      <c r="G918" t="s">
        <v>13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511</v>
      </c>
      <c r="B919" s="1">
        <v>45705</v>
      </c>
      <c r="C919" t="s">
        <v>2</v>
      </c>
      <c r="D919" t="s">
        <v>19</v>
      </c>
      <c r="E919" t="s">
        <v>25</v>
      </c>
      <c r="F919" t="s">
        <v>18</v>
      </c>
      <c r="G919" t="s">
        <v>13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510</v>
      </c>
      <c r="B920" s="1">
        <v>45798</v>
      </c>
      <c r="C920" t="s">
        <v>2</v>
      </c>
      <c r="D920" t="s">
        <v>20</v>
      </c>
      <c r="E920" t="s">
        <v>15</v>
      </c>
      <c r="F920" t="s">
        <v>18</v>
      </c>
      <c r="G920" t="s">
        <v>13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509</v>
      </c>
      <c r="B921" s="1">
        <v>45687</v>
      </c>
      <c r="C921" t="s">
        <v>2</v>
      </c>
      <c r="D921" t="s">
        <v>19</v>
      </c>
      <c r="E921" t="s">
        <v>15</v>
      </c>
      <c r="F921" t="s">
        <v>18</v>
      </c>
      <c r="G921" t="s">
        <v>17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508</v>
      </c>
      <c r="B922" s="1">
        <v>45736</v>
      </c>
      <c r="C922" t="s">
        <v>2</v>
      </c>
      <c r="D922" t="s">
        <v>21</v>
      </c>
      <c r="E922" t="s">
        <v>15</v>
      </c>
      <c r="F922" t="s">
        <v>23</v>
      </c>
      <c r="G922" t="s">
        <v>17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507</v>
      </c>
      <c r="B923" s="1">
        <v>45757</v>
      </c>
      <c r="C923" t="s">
        <v>2</v>
      </c>
      <c r="D923" t="s">
        <v>21</v>
      </c>
      <c r="E923" t="s">
        <v>24</v>
      </c>
      <c r="F923" t="s">
        <v>14</v>
      </c>
      <c r="G923" t="s">
        <v>17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506</v>
      </c>
      <c r="B924" s="1">
        <v>45723</v>
      </c>
      <c r="C924" t="s">
        <v>2</v>
      </c>
      <c r="D924" t="s">
        <v>16</v>
      </c>
      <c r="E924" t="s">
        <v>25</v>
      </c>
      <c r="F924" t="s">
        <v>18</v>
      </c>
      <c r="G924" t="s">
        <v>17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505</v>
      </c>
      <c r="B925" s="1">
        <v>45728</v>
      </c>
      <c r="C925" t="s">
        <v>2</v>
      </c>
      <c r="D925" t="s">
        <v>21</v>
      </c>
      <c r="E925" t="s">
        <v>15</v>
      </c>
      <c r="F925" t="s">
        <v>23</v>
      </c>
      <c r="G925" t="s">
        <v>13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504</v>
      </c>
      <c r="B926" s="1">
        <v>45712</v>
      </c>
      <c r="C926" t="s">
        <v>2</v>
      </c>
      <c r="D926" t="s">
        <v>20</v>
      </c>
      <c r="E926" t="s">
        <v>15</v>
      </c>
      <c r="F926" t="s">
        <v>27</v>
      </c>
      <c r="G926" t="s">
        <v>17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503</v>
      </c>
      <c r="B927" s="1">
        <v>45672</v>
      </c>
      <c r="C927" t="s">
        <v>2</v>
      </c>
      <c r="D927" t="s">
        <v>20</v>
      </c>
      <c r="E927" t="s">
        <v>15</v>
      </c>
      <c r="F927" t="s">
        <v>27</v>
      </c>
      <c r="G927" t="s">
        <v>17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502</v>
      </c>
      <c r="B928" s="1">
        <v>45664</v>
      </c>
      <c r="C928" t="s">
        <v>2</v>
      </c>
      <c r="D928" t="s">
        <v>16</v>
      </c>
      <c r="E928" t="s">
        <v>25</v>
      </c>
      <c r="F928" t="s">
        <v>14</v>
      </c>
      <c r="G928" t="s">
        <v>17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501</v>
      </c>
      <c r="B929" s="1">
        <v>45718</v>
      </c>
      <c r="C929" t="s">
        <v>2</v>
      </c>
      <c r="D929" t="s">
        <v>16</v>
      </c>
      <c r="E929" t="s">
        <v>25</v>
      </c>
      <c r="F929" t="s">
        <v>18</v>
      </c>
      <c r="G929" t="s">
        <v>17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500</v>
      </c>
      <c r="B930" s="1">
        <v>45662</v>
      </c>
      <c r="C930" t="s">
        <v>2</v>
      </c>
      <c r="D930" t="s">
        <v>19</v>
      </c>
      <c r="E930" t="s">
        <v>25</v>
      </c>
      <c r="F930" t="s">
        <v>27</v>
      </c>
      <c r="G930" t="s">
        <v>13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499</v>
      </c>
      <c r="B931" s="1">
        <v>45719</v>
      </c>
      <c r="C931" t="s">
        <v>2</v>
      </c>
      <c r="D931" t="s">
        <v>19</v>
      </c>
      <c r="E931" t="s">
        <v>15</v>
      </c>
      <c r="F931" t="s">
        <v>18</v>
      </c>
      <c r="G931" t="s">
        <v>17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498</v>
      </c>
      <c r="B932" s="1">
        <v>45747</v>
      </c>
      <c r="C932" t="s">
        <v>2</v>
      </c>
      <c r="D932" t="s">
        <v>20</v>
      </c>
      <c r="E932" t="s">
        <v>25</v>
      </c>
      <c r="F932" t="s">
        <v>27</v>
      </c>
      <c r="G932" t="s">
        <v>17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497</v>
      </c>
      <c r="B933" s="1">
        <v>45671</v>
      </c>
      <c r="C933" t="s">
        <v>2</v>
      </c>
      <c r="D933" t="s">
        <v>20</v>
      </c>
      <c r="E933" t="s">
        <v>25</v>
      </c>
      <c r="F933" t="s">
        <v>14</v>
      </c>
      <c r="G933" t="s">
        <v>29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496</v>
      </c>
      <c r="B934" s="1">
        <v>45672</v>
      </c>
      <c r="C934" t="s">
        <v>2</v>
      </c>
      <c r="D934" t="s">
        <v>21</v>
      </c>
      <c r="E934" t="s">
        <v>25</v>
      </c>
      <c r="F934" t="s">
        <v>14</v>
      </c>
      <c r="G934" t="s">
        <v>29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495</v>
      </c>
      <c r="B935" s="1">
        <v>45772</v>
      </c>
      <c r="C935" t="s">
        <v>2</v>
      </c>
      <c r="D935" t="s">
        <v>21</v>
      </c>
      <c r="E935" t="s">
        <v>25</v>
      </c>
      <c r="F935" t="s">
        <v>18</v>
      </c>
      <c r="G935" t="s">
        <v>17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494</v>
      </c>
      <c r="B936" s="1">
        <v>45737</v>
      </c>
      <c r="C936" t="s">
        <v>2</v>
      </c>
      <c r="D936" t="s">
        <v>20</v>
      </c>
      <c r="E936" t="s">
        <v>15</v>
      </c>
      <c r="F936" t="s">
        <v>18</v>
      </c>
      <c r="G936" t="s">
        <v>13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493</v>
      </c>
      <c r="B937" s="1">
        <v>45773</v>
      </c>
      <c r="C937" t="s">
        <v>2</v>
      </c>
      <c r="D937" t="s">
        <v>19</v>
      </c>
      <c r="E937" t="s">
        <v>15</v>
      </c>
      <c r="F937" t="s">
        <v>14</v>
      </c>
      <c r="G937" t="s">
        <v>13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492</v>
      </c>
      <c r="B938" s="1">
        <v>45798</v>
      </c>
      <c r="C938" t="s">
        <v>2</v>
      </c>
      <c r="D938" t="s">
        <v>19</v>
      </c>
      <c r="E938" t="s">
        <v>25</v>
      </c>
      <c r="F938" t="s">
        <v>32</v>
      </c>
      <c r="G938" t="s">
        <v>13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491</v>
      </c>
      <c r="B939" s="1">
        <v>45765</v>
      </c>
      <c r="C939" t="s">
        <v>2</v>
      </c>
      <c r="D939" t="s">
        <v>20</v>
      </c>
      <c r="E939" t="s">
        <v>15</v>
      </c>
      <c r="F939" t="s">
        <v>14</v>
      </c>
      <c r="G939" t="s">
        <v>17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490</v>
      </c>
      <c r="B940" s="1">
        <v>45686</v>
      </c>
      <c r="C940" t="s">
        <v>2</v>
      </c>
      <c r="D940" t="s">
        <v>16</v>
      </c>
      <c r="E940" t="s">
        <v>25</v>
      </c>
      <c r="F940" t="s">
        <v>23</v>
      </c>
      <c r="G940" t="s">
        <v>29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489</v>
      </c>
      <c r="B941" s="1">
        <v>45805</v>
      </c>
      <c r="C941" t="s">
        <v>2</v>
      </c>
      <c r="D941" t="s">
        <v>21</v>
      </c>
      <c r="E941" t="s">
        <v>15</v>
      </c>
      <c r="F941" t="s">
        <v>18</v>
      </c>
      <c r="G941" t="s">
        <v>29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488</v>
      </c>
      <c r="B942" s="1">
        <v>45672</v>
      </c>
      <c r="C942" t="s">
        <v>2</v>
      </c>
      <c r="D942" t="s">
        <v>20</v>
      </c>
      <c r="E942" t="s">
        <v>15</v>
      </c>
      <c r="F942" t="s">
        <v>23</v>
      </c>
      <c r="G942" t="s">
        <v>17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487</v>
      </c>
      <c r="B943" s="1">
        <v>45660</v>
      </c>
      <c r="C943" t="s">
        <v>2</v>
      </c>
      <c r="D943" t="s">
        <v>19</v>
      </c>
      <c r="E943" t="s">
        <v>15</v>
      </c>
      <c r="F943" t="s">
        <v>18</v>
      </c>
      <c r="G943" t="s">
        <v>13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486</v>
      </c>
      <c r="B944" s="1">
        <v>45692</v>
      </c>
      <c r="C944" t="s">
        <v>2</v>
      </c>
      <c r="D944" t="s">
        <v>19</v>
      </c>
      <c r="E944" t="s">
        <v>15</v>
      </c>
      <c r="F944" t="s">
        <v>14</v>
      </c>
      <c r="G944" t="s">
        <v>17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485</v>
      </c>
      <c r="B945" s="1">
        <v>45710</v>
      </c>
      <c r="C945" t="s">
        <v>2</v>
      </c>
      <c r="D945" t="s">
        <v>19</v>
      </c>
      <c r="E945" t="s">
        <v>15</v>
      </c>
      <c r="F945" t="s">
        <v>27</v>
      </c>
      <c r="G945" t="s">
        <v>29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484</v>
      </c>
      <c r="B946" s="1">
        <v>45783</v>
      </c>
      <c r="C946" t="s">
        <v>2</v>
      </c>
      <c r="D946" t="s">
        <v>21</v>
      </c>
      <c r="E946" t="s">
        <v>15</v>
      </c>
      <c r="F946" t="s">
        <v>18</v>
      </c>
      <c r="G946" t="s">
        <v>13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483</v>
      </c>
      <c r="B947" s="1">
        <v>45688</v>
      </c>
      <c r="C947" t="s">
        <v>2</v>
      </c>
      <c r="D947" t="s">
        <v>19</v>
      </c>
      <c r="E947" t="s">
        <v>15</v>
      </c>
      <c r="F947" t="s">
        <v>18</v>
      </c>
      <c r="G947" t="s">
        <v>17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482</v>
      </c>
      <c r="B948" s="1">
        <v>45706</v>
      </c>
      <c r="C948" t="s">
        <v>2</v>
      </c>
      <c r="D948" t="s">
        <v>16</v>
      </c>
      <c r="E948" t="s">
        <v>15</v>
      </c>
      <c r="F948" t="s">
        <v>22</v>
      </c>
      <c r="G948" t="s">
        <v>13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481</v>
      </c>
      <c r="B949" s="1">
        <v>45770</v>
      </c>
      <c r="C949" t="s">
        <v>2</v>
      </c>
      <c r="D949" t="s">
        <v>20</v>
      </c>
      <c r="E949" t="s">
        <v>15</v>
      </c>
      <c r="F949" t="s">
        <v>14</v>
      </c>
      <c r="G949" t="s">
        <v>17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480</v>
      </c>
      <c r="B950" s="1">
        <v>45694</v>
      </c>
      <c r="C950" t="s">
        <v>2</v>
      </c>
      <c r="D950" t="s">
        <v>16</v>
      </c>
      <c r="E950" t="s">
        <v>15</v>
      </c>
      <c r="F950" t="s">
        <v>18</v>
      </c>
      <c r="G950" t="s">
        <v>17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479</v>
      </c>
      <c r="B951" s="1">
        <v>45773</v>
      </c>
      <c r="C951" t="s">
        <v>2</v>
      </c>
      <c r="D951" t="s">
        <v>19</v>
      </c>
      <c r="E951" t="s">
        <v>25</v>
      </c>
      <c r="F951" t="s">
        <v>14</v>
      </c>
      <c r="G951" t="s">
        <v>17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478</v>
      </c>
      <c r="B952" s="1">
        <v>45746</v>
      </c>
      <c r="C952" t="s">
        <v>2</v>
      </c>
      <c r="D952" t="s">
        <v>21</v>
      </c>
      <c r="E952" t="s">
        <v>25</v>
      </c>
      <c r="F952" t="s">
        <v>14</v>
      </c>
      <c r="G952" t="s">
        <v>13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477</v>
      </c>
      <c r="B953" s="1">
        <v>45760</v>
      </c>
      <c r="C953" t="s">
        <v>2</v>
      </c>
      <c r="D953" t="s">
        <v>21</v>
      </c>
      <c r="E953" t="s">
        <v>15</v>
      </c>
      <c r="F953" t="s">
        <v>32</v>
      </c>
      <c r="G953" t="s">
        <v>29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476</v>
      </c>
      <c r="B954" s="1">
        <v>45751</v>
      </c>
      <c r="C954" t="s">
        <v>2</v>
      </c>
      <c r="D954" t="s">
        <v>20</v>
      </c>
      <c r="E954" t="s">
        <v>25</v>
      </c>
      <c r="F954" t="s">
        <v>18</v>
      </c>
      <c r="G954" t="s">
        <v>29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475</v>
      </c>
      <c r="B955" s="1">
        <v>45750</v>
      </c>
      <c r="C955" t="s">
        <v>2</v>
      </c>
      <c r="D955" t="s">
        <v>16</v>
      </c>
      <c r="E955" t="s">
        <v>25</v>
      </c>
      <c r="F955" t="s">
        <v>27</v>
      </c>
      <c r="G955" t="s">
        <v>17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474</v>
      </c>
      <c r="B956" s="1">
        <v>45730</v>
      </c>
      <c r="C956" t="s">
        <v>2</v>
      </c>
      <c r="D956" t="s">
        <v>21</v>
      </c>
      <c r="E956" t="s">
        <v>15</v>
      </c>
      <c r="F956" t="s">
        <v>14</v>
      </c>
      <c r="G956" t="s">
        <v>29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473</v>
      </c>
      <c r="B957" s="1">
        <v>45671</v>
      </c>
      <c r="C957" t="s">
        <v>2</v>
      </c>
      <c r="D957" t="s">
        <v>21</v>
      </c>
      <c r="E957" t="s">
        <v>15</v>
      </c>
      <c r="F957" t="s">
        <v>27</v>
      </c>
      <c r="G957" t="s">
        <v>17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472</v>
      </c>
      <c r="B958" s="1">
        <v>45782</v>
      </c>
      <c r="C958" t="s">
        <v>2</v>
      </c>
      <c r="D958" t="s">
        <v>21</v>
      </c>
      <c r="E958" t="s">
        <v>15</v>
      </c>
      <c r="F958" t="s">
        <v>14</v>
      </c>
      <c r="G958" t="s">
        <v>17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471</v>
      </c>
      <c r="B959" s="1">
        <v>45779</v>
      </c>
      <c r="C959" t="s">
        <v>2</v>
      </c>
      <c r="D959" t="s">
        <v>21</v>
      </c>
      <c r="E959" t="s">
        <v>25</v>
      </c>
      <c r="F959" t="s">
        <v>22</v>
      </c>
      <c r="G959" t="s">
        <v>17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470</v>
      </c>
      <c r="B960" s="1">
        <v>45798</v>
      </c>
      <c r="C960" t="s">
        <v>2</v>
      </c>
      <c r="D960" t="s">
        <v>20</v>
      </c>
      <c r="E960" t="s">
        <v>15</v>
      </c>
      <c r="F960" t="s">
        <v>18</v>
      </c>
      <c r="G960" t="s">
        <v>17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469</v>
      </c>
      <c r="B961" s="1">
        <v>45793</v>
      </c>
      <c r="C961" t="s">
        <v>2</v>
      </c>
      <c r="D961" t="s">
        <v>16</v>
      </c>
      <c r="E961" t="s">
        <v>15</v>
      </c>
      <c r="F961" t="s">
        <v>27</v>
      </c>
      <c r="G961" t="s">
        <v>29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468</v>
      </c>
      <c r="B962" s="1">
        <v>45801</v>
      </c>
      <c r="C962" t="s">
        <v>2</v>
      </c>
      <c r="D962" t="s">
        <v>20</v>
      </c>
      <c r="E962" t="s">
        <v>25</v>
      </c>
      <c r="F962" t="s">
        <v>18</v>
      </c>
      <c r="G962" t="s">
        <v>29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467</v>
      </c>
      <c r="B963" s="1">
        <v>45734</v>
      </c>
      <c r="C963" t="s">
        <v>2</v>
      </c>
      <c r="D963" t="s">
        <v>20</v>
      </c>
      <c r="E963" t="s">
        <v>15</v>
      </c>
      <c r="F963" t="s">
        <v>18</v>
      </c>
      <c r="G963" t="s">
        <v>13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466</v>
      </c>
      <c r="B964" s="1">
        <v>45668</v>
      </c>
      <c r="C964" t="s">
        <v>2</v>
      </c>
      <c r="D964" t="s">
        <v>20</v>
      </c>
      <c r="E964" t="s">
        <v>25</v>
      </c>
      <c r="F964" t="s">
        <v>14</v>
      </c>
      <c r="G964" t="s">
        <v>17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465</v>
      </c>
      <c r="B965" s="1">
        <v>45697</v>
      </c>
      <c r="C965" t="s">
        <v>2</v>
      </c>
      <c r="D965" t="s">
        <v>19</v>
      </c>
      <c r="E965" t="s">
        <v>15</v>
      </c>
      <c r="F965" t="s">
        <v>18</v>
      </c>
      <c r="G965" t="s">
        <v>13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464</v>
      </c>
      <c r="B966" s="1">
        <v>45717</v>
      </c>
      <c r="C966" t="s">
        <v>2</v>
      </c>
      <c r="D966" t="s">
        <v>16</v>
      </c>
      <c r="E966" t="s">
        <v>25</v>
      </c>
      <c r="F966" t="s">
        <v>22</v>
      </c>
      <c r="G966" t="s">
        <v>17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463</v>
      </c>
      <c r="B967" s="1">
        <v>45784</v>
      </c>
      <c r="C967" t="s">
        <v>2</v>
      </c>
      <c r="D967" t="s">
        <v>16</v>
      </c>
      <c r="E967" t="s">
        <v>15</v>
      </c>
      <c r="F967" t="s">
        <v>18</v>
      </c>
      <c r="G967" t="s">
        <v>13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462</v>
      </c>
      <c r="B968" s="1">
        <v>45707</v>
      </c>
      <c r="C968" t="s">
        <v>2</v>
      </c>
      <c r="D968" t="s">
        <v>19</v>
      </c>
      <c r="E968" t="s">
        <v>25</v>
      </c>
      <c r="F968" t="s">
        <v>32</v>
      </c>
      <c r="G968" t="s">
        <v>17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461</v>
      </c>
      <c r="B969" s="1">
        <v>45714</v>
      </c>
      <c r="C969" t="s">
        <v>2</v>
      </c>
      <c r="D969" t="s">
        <v>21</v>
      </c>
      <c r="E969" t="s">
        <v>15</v>
      </c>
      <c r="F969" t="s">
        <v>18</v>
      </c>
      <c r="G969" t="s">
        <v>29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460</v>
      </c>
      <c r="B970" s="1">
        <v>45739</v>
      </c>
      <c r="C970" t="s">
        <v>2</v>
      </c>
      <c r="D970" t="s">
        <v>19</v>
      </c>
      <c r="E970" t="s">
        <v>15</v>
      </c>
      <c r="F970" t="s">
        <v>22</v>
      </c>
      <c r="G970" t="s">
        <v>17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459</v>
      </c>
      <c r="B971" s="1">
        <v>45772</v>
      </c>
      <c r="C971" t="s">
        <v>2</v>
      </c>
      <c r="D971" t="s">
        <v>19</v>
      </c>
      <c r="E971" t="s">
        <v>25</v>
      </c>
      <c r="F971" t="s">
        <v>22</v>
      </c>
      <c r="G971" t="s">
        <v>17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458</v>
      </c>
      <c r="B972" s="1">
        <v>45787</v>
      </c>
      <c r="C972" t="s">
        <v>2</v>
      </c>
      <c r="D972" t="s">
        <v>16</v>
      </c>
      <c r="E972" t="s">
        <v>25</v>
      </c>
      <c r="F972" t="s">
        <v>22</v>
      </c>
      <c r="G972" t="s">
        <v>17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457</v>
      </c>
      <c r="B973" s="1">
        <v>45769</v>
      </c>
      <c r="C973" t="s">
        <v>2</v>
      </c>
      <c r="D973" t="s">
        <v>20</v>
      </c>
      <c r="E973" t="s">
        <v>15</v>
      </c>
      <c r="F973" t="s">
        <v>14</v>
      </c>
      <c r="G973" t="s">
        <v>29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456</v>
      </c>
      <c r="B974" s="1">
        <v>45706</v>
      </c>
      <c r="C974" t="s">
        <v>2</v>
      </c>
      <c r="D974" t="s">
        <v>21</v>
      </c>
      <c r="E974" t="s">
        <v>15</v>
      </c>
      <c r="F974" t="s">
        <v>27</v>
      </c>
      <c r="G974" t="s">
        <v>13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455</v>
      </c>
      <c r="B975" s="1">
        <v>45683</v>
      </c>
      <c r="C975" t="s">
        <v>2</v>
      </c>
      <c r="D975" t="s">
        <v>19</v>
      </c>
      <c r="E975" t="s">
        <v>15</v>
      </c>
      <c r="F975" t="s">
        <v>14</v>
      </c>
      <c r="G975" t="s">
        <v>29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454</v>
      </c>
      <c r="B976" s="1">
        <v>45775</v>
      </c>
      <c r="C976" t="s">
        <v>2</v>
      </c>
      <c r="D976" t="s">
        <v>16</v>
      </c>
      <c r="E976" t="s">
        <v>15</v>
      </c>
      <c r="F976" t="s">
        <v>18</v>
      </c>
      <c r="G976" t="s">
        <v>17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453</v>
      </c>
      <c r="B977" s="1">
        <v>45749</v>
      </c>
      <c r="C977" t="s">
        <v>2</v>
      </c>
      <c r="D977" t="s">
        <v>19</v>
      </c>
      <c r="E977" t="s">
        <v>25</v>
      </c>
      <c r="F977" t="s">
        <v>23</v>
      </c>
      <c r="G977" t="s">
        <v>13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452</v>
      </c>
      <c r="B978" s="1">
        <v>45759</v>
      </c>
      <c r="C978" t="s">
        <v>2</v>
      </c>
      <c r="D978" t="s">
        <v>19</v>
      </c>
      <c r="E978" t="s">
        <v>25</v>
      </c>
      <c r="F978" t="s">
        <v>23</v>
      </c>
      <c r="G978" t="s">
        <v>29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451</v>
      </c>
      <c r="B979" s="1">
        <v>45660</v>
      </c>
      <c r="C979" t="s">
        <v>2</v>
      </c>
      <c r="D979" t="s">
        <v>21</v>
      </c>
      <c r="E979" t="s">
        <v>25</v>
      </c>
      <c r="F979" t="s">
        <v>23</v>
      </c>
      <c r="G979" t="s">
        <v>13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450</v>
      </c>
      <c r="B980" s="1">
        <v>45785</v>
      </c>
      <c r="C980" t="s">
        <v>2</v>
      </c>
      <c r="D980" t="s">
        <v>16</v>
      </c>
      <c r="E980" t="s">
        <v>15</v>
      </c>
      <c r="F980" t="s">
        <v>14</v>
      </c>
      <c r="G980" t="s">
        <v>17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449</v>
      </c>
      <c r="B981" s="1">
        <v>45708</v>
      </c>
      <c r="C981" t="s">
        <v>2</v>
      </c>
      <c r="D981" t="s">
        <v>16</v>
      </c>
      <c r="E981" t="s">
        <v>15</v>
      </c>
      <c r="F981" t="s">
        <v>27</v>
      </c>
      <c r="G981" t="s">
        <v>29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448</v>
      </c>
      <c r="B982" s="1">
        <v>45733</v>
      </c>
      <c r="C982" t="s">
        <v>2</v>
      </c>
      <c r="D982" t="s">
        <v>16</v>
      </c>
      <c r="E982" t="s">
        <v>25</v>
      </c>
      <c r="F982" t="s">
        <v>14</v>
      </c>
      <c r="G982" t="s">
        <v>29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447</v>
      </c>
      <c r="B983" s="1">
        <v>45757</v>
      </c>
      <c r="C983" t="s">
        <v>2</v>
      </c>
      <c r="D983" t="s">
        <v>19</v>
      </c>
      <c r="E983" t="s">
        <v>25</v>
      </c>
      <c r="F983" t="s">
        <v>23</v>
      </c>
      <c r="G983" t="s">
        <v>17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446</v>
      </c>
      <c r="B984" s="1">
        <v>45785</v>
      </c>
      <c r="C984" t="s">
        <v>2</v>
      </c>
      <c r="D984" t="s">
        <v>16</v>
      </c>
      <c r="E984" t="s">
        <v>25</v>
      </c>
      <c r="F984" t="s">
        <v>27</v>
      </c>
      <c r="G984" t="s">
        <v>17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445</v>
      </c>
      <c r="B985" s="1">
        <v>45766</v>
      </c>
      <c r="C985" t="s">
        <v>2</v>
      </c>
      <c r="D985" t="s">
        <v>21</v>
      </c>
      <c r="E985" t="s">
        <v>15</v>
      </c>
      <c r="F985" t="s">
        <v>14</v>
      </c>
      <c r="G985" t="s">
        <v>13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444</v>
      </c>
      <c r="B986" s="1">
        <v>45658</v>
      </c>
      <c r="C986" t="s">
        <v>2</v>
      </c>
      <c r="D986" t="s">
        <v>19</v>
      </c>
      <c r="E986" t="s">
        <v>24</v>
      </c>
      <c r="F986" t="s">
        <v>14</v>
      </c>
      <c r="G986" t="s">
        <v>13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443</v>
      </c>
      <c r="B987" s="1">
        <v>45726</v>
      </c>
      <c r="C987" t="s">
        <v>2</v>
      </c>
      <c r="D987" t="s">
        <v>20</v>
      </c>
      <c r="E987" t="s">
        <v>15</v>
      </c>
      <c r="F987" t="s">
        <v>14</v>
      </c>
      <c r="G987" t="s">
        <v>17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442</v>
      </c>
      <c r="B988" s="1">
        <v>45726</v>
      </c>
      <c r="C988" t="s">
        <v>2</v>
      </c>
      <c r="D988" t="s">
        <v>20</v>
      </c>
      <c r="E988" t="s">
        <v>24</v>
      </c>
      <c r="F988" t="s">
        <v>22</v>
      </c>
      <c r="G988" t="s">
        <v>29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441</v>
      </c>
      <c r="B989" s="1">
        <v>45766</v>
      </c>
      <c r="C989" t="s">
        <v>2</v>
      </c>
      <c r="D989" t="s">
        <v>21</v>
      </c>
      <c r="E989" t="s">
        <v>24</v>
      </c>
      <c r="F989" t="s">
        <v>23</v>
      </c>
      <c r="G989" t="s">
        <v>13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440</v>
      </c>
      <c r="B990" s="1">
        <v>45758</v>
      </c>
      <c r="C990" t="s">
        <v>2</v>
      </c>
      <c r="D990" t="s">
        <v>21</v>
      </c>
      <c r="E990" t="s">
        <v>25</v>
      </c>
      <c r="F990" t="s">
        <v>18</v>
      </c>
      <c r="G990" t="s">
        <v>17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439</v>
      </c>
      <c r="B991" s="1">
        <v>45757</v>
      </c>
      <c r="C991" t="s">
        <v>2</v>
      </c>
      <c r="D991" t="s">
        <v>20</v>
      </c>
      <c r="E991" t="s">
        <v>15</v>
      </c>
      <c r="F991" t="s">
        <v>18</v>
      </c>
      <c r="G991" t="s">
        <v>13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438</v>
      </c>
      <c r="B992" s="1">
        <v>45670</v>
      </c>
      <c r="C992" t="s">
        <v>2</v>
      </c>
      <c r="D992" t="s">
        <v>21</v>
      </c>
      <c r="E992" t="s">
        <v>25</v>
      </c>
      <c r="F992" t="s">
        <v>22</v>
      </c>
      <c r="G992" t="s">
        <v>17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437</v>
      </c>
      <c r="B993" s="1">
        <v>45744</v>
      </c>
      <c r="C993" t="s">
        <v>2</v>
      </c>
      <c r="D993" t="s">
        <v>19</v>
      </c>
      <c r="E993" t="s">
        <v>25</v>
      </c>
      <c r="F993" t="s">
        <v>18</v>
      </c>
      <c r="G993" t="s">
        <v>17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436</v>
      </c>
      <c r="B994" s="1">
        <v>45686</v>
      </c>
      <c r="C994" t="s">
        <v>2</v>
      </c>
      <c r="D994" t="s">
        <v>20</v>
      </c>
      <c r="E994" t="s">
        <v>15</v>
      </c>
      <c r="F994" t="s">
        <v>14</v>
      </c>
      <c r="G994" t="s">
        <v>17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435</v>
      </c>
      <c r="B995" s="1">
        <v>45743</v>
      </c>
      <c r="C995" t="s">
        <v>2</v>
      </c>
      <c r="D995" t="s">
        <v>19</v>
      </c>
      <c r="E995" t="s">
        <v>15</v>
      </c>
      <c r="F995" t="s">
        <v>27</v>
      </c>
      <c r="G995" t="s">
        <v>17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434</v>
      </c>
      <c r="B996" s="1">
        <v>45736</v>
      </c>
      <c r="C996" t="s">
        <v>2</v>
      </c>
      <c r="D996" t="s">
        <v>20</v>
      </c>
      <c r="E996" t="s">
        <v>24</v>
      </c>
      <c r="F996" t="s">
        <v>22</v>
      </c>
      <c r="G996" t="s">
        <v>17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433</v>
      </c>
      <c r="B997" s="1">
        <v>45666</v>
      </c>
      <c r="C997" t="s">
        <v>2</v>
      </c>
      <c r="D997" t="s">
        <v>16</v>
      </c>
      <c r="E997" t="s">
        <v>15</v>
      </c>
      <c r="F997" t="s">
        <v>14</v>
      </c>
      <c r="G997" t="s">
        <v>13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432</v>
      </c>
      <c r="B998" s="1">
        <v>45772</v>
      </c>
      <c r="C998" t="s">
        <v>2</v>
      </c>
      <c r="D998" t="s">
        <v>21</v>
      </c>
      <c r="E998" t="s">
        <v>15</v>
      </c>
      <c r="F998" t="s">
        <v>22</v>
      </c>
      <c r="G998" t="s">
        <v>17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431</v>
      </c>
      <c r="B999" s="1">
        <v>45758</v>
      </c>
      <c r="C999" t="s">
        <v>2</v>
      </c>
      <c r="D999" t="s">
        <v>19</v>
      </c>
      <c r="E999" t="s">
        <v>25</v>
      </c>
      <c r="F999" t="s">
        <v>22</v>
      </c>
      <c r="G999" t="s">
        <v>17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430</v>
      </c>
      <c r="B1000" s="1">
        <v>45693</v>
      </c>
      <c r="C1000" t="s">
        <v>2</v>
      </c>
      <c r="D1000" t="s">
        <v>20</v>
      </c>
      <c r="E1000" t="s">
        <v>15</v>
      </c>
      <c r="F1000" t="s">
        <v>22</v>
      </c>
      <c r="G1000" t="s">
        <v>13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429</v>
      </c>
      <c r="B1001" s="1">
        <v>45744</v>
      </c>
      <c r="C1001" t="s">
        <v>2</v>
      </c>
      <c r="D1001" t="s">
        <v>19</v>
      </c>
      <c r="E1001" t="s">
        <v>15</v>
      </c>
      <c r="F1001" t="s">
        <v>22</v>
      </c>
      <c r="G1001" t="s">
        <v>29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428</v>
      </c>
      <c r="B1002" s="1">
        <v>45791</v>
      </c>
      <c r="C1002" t="s">
        <v>2</v>
      </c>
      <c r="D1002" t="s">
        <v>19</v>
      </c>
      <c r="E1002" t="s">
        <v>15</v>
      </c>
      <c r="F1002" t="s">
        <v>27</v>
      </c>
      <c r="G1002" t="s">
        <v>17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427</v>
      </c>
      <c r="B1003" s="1">
        <v>45726</v>
      </c>
      <c r="C1003" t="s">
        <v>2</v>
      </c>
      <c r="D1003" t="s">
        <v>20</v>
      </c>
      <c r="E1003" t="s">
        <v>15</v>
      </c>
      <c r="F1003" t="s">
        <v>14</v>
      </c>
      <c r="G1003" t="s">
        <v>13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426</v>
      </c>
      <c r="B1004" s="1">
        <v>45756</v>
      </c>
      <c r="C1004" t="s">
        <v>2</v>
      </c>
      <c r="D1004" t="s">
        <v>20</v>
      </c>
      <c r="E1004" t="s">
        <v>25</v>
      </c>
      <c r="F1004" t="s">
        <v>14</v>
      </c>
      <c r="G1004" t="s">
        <v>17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425</v>
      </c>
      <c r="B1005" s="1">
        <v>45701</v>
      </c>
      <c r="C1005" t="s">
        <v>2</v>
      </c>
      <c r="D1005" t="s">
        <v>16</v>
      </c>
      <c r="E1005" t="s">
        <v>15</v>
      </c>
      <c r="F1005" t="s">
        <v>27</v>
      </c>
      <c r="G1005" t="s">
        <v>13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424</v>
      </c>
      <c r="B1006" s="1">
        <v>45780</v>
      </c>
      <c r="C1006" t="s">
        <v>2</v>
      </c>
      <c r="D1006" t="s">
        <v>20</v>
      </c>
      <c r="E1006" t="s">
        <v>15</v>
      </c>
      <c r="F1006" t="s">
        <v>23</v>
      </c>
      <c r="G1006" t="s">
        <v>17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423</v>
      </c>
      <c r="B1007" s="1">
        <v>45763</v>
      </c>
      <c r="C1007" t="s">
        <v>2</v>
      </c>
      <c r="D1007" t="s">
        <v>19</v>
      </c>
      <c r="E1007" t="s">
        <v>25</v>
      </c>
      <c r="F1007" t="s">
        <v>27</v>
      </c>
      <c r="G1007" t="s">
        <v>29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422</v>
      </c>
      <c r="B1008" s="1">
        <v>45777</v>
      </c>
      <c r="C1008" t="s">
        <v>2</v>
      </c>
      <c r="D1008" t="s">
        <v>16</v>
      </c>
      <c r="E1008" t="s">
        <v>15</v>
      </c>
      <c r="F1008" t="s">
        <v>14</v>
      </c>
      <c r="G1008" t="s">
        <v>29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421</v>
      </c>
      <c r="B1009" s="1">
        <v>45706</v>
      </c>
      <c r="C1009" t="s">
        <v>2</v>
      </c>
      <c r="D1009" t="s">
        <v>21</v>
      </c>
      <c r="E1009" t="s">
        <v>25</v>
      </c>
      <c r="F1009" t="s">
        <v>18</v>
      </c>
      <c r="G1009" t="s">
        <v>17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420</v>
      </c>
      <c r="B1010" s="1">
        <v>45799</v>
      </c>
      <c r="C1010" t="s">
        <v>2</v>
      </c>
      <c r="D1010" t="s">
        <v>21</v>
      </c>
      <c r="E1010" t="s">
        <v>25</v>
      </c>
      <c r="F1010" t="s">
        <v>27</v>
      </c>
      <c r="G1010" t="s">
        <v>13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419</v>
      </c>
      <c r="B1011" s="1">
        <v>45798</v>
      </c>
      <c r="C1011" t="s">
        <v>2</v>
      </c>
      <c r="D1011" t="s">
        <v>19</v>
      </c>
      <c r="E1011" t="s">
        <v>25</v>
      </c>
      <c r="F1011" t="s">
        <v>18</v>
      </c>
      <c r="G1011" t="s">
        <v>17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418</v>
      </c>
      <c r="B1012" s="1">
        <v>45757</v>
      </c>
      <c r="C1012" t="s">
        <v>2</v>
      </c>
      <c r="D1012" t="s">
        <v>20</v>
      </c>
      <c r="E1012" t="s">
        <v>25</v>
      </c>
      <c r="F1012" t="s">
        <v>18</v>
      </c>
      <c r="G1012" t="s">
        <v>17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417</v>
      </c>
      <c r="B1013" s="1">
        <v>45664</v>
      </c>
      <c r="C1013" t="s">
        <v>2</v>
      </c>
      <c r="D1013" t="s">
        <v>16</v>
      </c>
      <c r="E1013" t="s">
        <v>25</v>
      </c>
      <c r="F1013" t="s">
        <v>18</v>
      </c>
      <c r="G1013" t="s">
        <v>29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416</v>
      </c>
      <c r="B1014" s="1">
        <v>45691</v>
      </c>
      <c r="C1014" t="s">
        <v>2</v>
      </c>
      <c r="D1014" t="s">
        <v>19</v>
      </c>
      <c r="E1014" t="s">
        <v>25</v>
      </c>
      <c r="F1014" t="s">
        <v>22</v>
      </c>
      <c r="G1014" t="s">
        <v>17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415</v>
      </c>
      <c r="B1015" s="1">
        <v>45795</v>
      </c>
      <c r="C1015" t="s">
        <v>2</v>
      </c>
      <c r="D1015" t="s">
        <v>16</v>
      </c>
      <c r="E1015" t="s">
        <v>15</v>
      </c>
      <c r="F1015" t="s">
        <v>14</v>
      </c>
      <c r="G1015" t="s">
        <v>17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414</v>
      </c>
      <c r="B1016" s="1">
        <v>45688</v>
      </c>
      <c r="C1016" t="s">
        <v>2</v>
      </c>
      <c r="D1016" t="s">
        <v>16</v>
      </c>
      <c r="E1016" t="s">
        <v>15</v>
      </c>
      <c r="F1016" t="s">
        <v>27</v>
      </c>
      <c r="G1016" t="s">
        <v>17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413</v>
      </c>
      <c r="B1017" s="1">
        <v>45673</v>
      </c>
      <c r="C1017" t="s">
        <v>2</v>
      </c>
      <c r="D1017" t="s">
        <v>19</v>
      </c>
      <c r="E1017" t="s">
        <v>25</v>
      </c>
      <c r="F1017" t="s">
        <v>18</v>
      </c>
      <c r="G1017" t="s">
        <v>13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412</v>
      </c>
      <c r="B1018" s="1">
        <v>45791</v>
      </c>
      <c r="C1018" t="s">
        <v>2</v>
      </c>
      <c r="D1018" t="s">
        <v>20</v>
      </c>
      <c r="E1018" t="s">
        <v>15</v>
      </c>
      <c r="F1018" t="s">
        <v>14</v>
      </c>
      <c r="G1018" t="s">
        <v>13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411</v>
      </c>
      <c r="B1019" s="1">
        <v>45748</v>
      </c>
      <c r="C1019" t="s">
        <v>2</v>
      </c>
      <c r="D1019" t="s">
        <v>19</v>
      </c>
      <c r="E1019" t="s">
        <v>15</v>
      </c>
      <c r="F1019" t="s">
        <v>32</v>
      </c>
      <c r="G1019" t="s">
        <v>13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410</v>
      </c>
      <c r="B1020" s="1">
        <v>45770</v>
      </c>
      <c r="C1020" t="s">
        <v>2</v>
      </c>
      <c r="D1020" t="s">
        <v>19</v>
      </c>
      <c r="E1020" t="s">
        <v>15</v>
      </c>
      <c r="F1020" t="s">
        <v>18</v>
      </c>
      <c r="G1020" t="s">
        <v>17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409</v>
      </c>
      <c r="B1021" s="1">
        <v>45718</v>
      </c>
      <c r="C1021" t="s">
        <v>2</v>
      </c>
      <c r="D1021" t="s">
        <v>19</v>
      </c>
      <c r="E1021" t="s">
        <v>25</v>
      </c>
      <c r="F1021" t="s">
        <v>14</v>
      </c>
      <c r="G1021" t="s">
        <v>13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408</v>
      </c>
      <c r="B1022" s="1">
        <v>45659</v>
      </c>
      <c r="C1022" t="s">
        <v>2</v>
      </c>
      <c r="D1022" t="s">
        <v>20</v>
      </c>
      <c r="E1022" t="s">
        <v>15</v>
      </c>
      <c r="F1022" t="s">
        <v>14</v>
      </c>
      <c r="G1022" t="s">
        <v>13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407</v>
      </c>
      <c r="B1023" s="1">
        <v>45781</v>
      </c>
      <c r="C1023" t="s">
        <v>2</v>
      </c>
      <c r="D1023" t="s">
        <v>19</v>
      </c>
      <c r="E1023" t="s">
        <v>15</v>
      </c>
      <c r="F1023" t="s">
        <v>18</v>
      </c>
      <c r="G1023" t="s">
        <v>17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406</v>
      </c>
      <c r="B1024" s="1">
        <v>45673</v>
      </c>
      <c r="C1024" t="s">
        <v>2</v>
      </c>
      <c r="D1024" t="s">
        <v>20</v>
      </c>
      <c r="E1024" t="s">
        <v>25</v>
      </c>
      <c r="F1024" t="s">
        <v>14</v>
      </c>
      <c r="G1024" t="s">
        <v>13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405</v>
      </c>
      <c r="B1025" s="1">
        <v>45699</v>
      </c>
      <c r="C1025" t="s">
        <v>2</v>
      </c>
      <c r="D1025" t="s">
        <v>21</v>
      </c>
      <c r="E1025" t="s">
        <v>24</v>
      </c>
      <c r="F1025" t="s">
        <v>14</v>
      </c>
      <c r="G1025" t="s">
        <v>29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404</v>
      </c>
      <c r="B1026" s="1">
        <v>45750</v>
      </c>
      <c r="C1026" t="s">
        <v>2</v>
      </c>
      <c r="D1026" t="s">
        <v>16</v>
      </c>
      <c r="E1026" t="s">
        <v>15</v>
      </c>
      <c r="F1026" t="s">
        <v>22</v>
      </c>
      <c r="G1026" t="s">
        <v>29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403</v>
      </c>
      <c r="B1027" s="1">
        <v>45742</v>
      </c>
      <c r="C1027" t="s">
        <v>2</v>
      </c>
      <c r="D1027" t="s">
        <v>20</v>
      </c>
      <c r="E1027" t="s">
        <v>15</v>
      </c>
      <c r="F1027" t="s">
        <v>27</v>
      </c>
      <c r="G1027" t="s">
        <v>17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402</v>
      </c>
      <c r="B1028" s="1">
        <v>45793</v>
      </c>
      <c r="C1028" t="s">
        <v>2</v>
      </c>
      <c r="D1028" t="s">
        <v>19</v>
      </c>
      <c r="E1028" t="s">
        <v>15</v>
      </c>
      <c r="F1028" t="s">
        <v>23</v>
      </c>
      <c r="G1028" t="s">
        <v>29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401</v>
      </c>
      <c r="B1029" s="1">
        <v>45767</v>
      </c>
      <c r="C1029" t="s">
        <v>2</v>
      </c>
      <c r="D1029" t="s">
        <v>21</v>
      </c>
      <c r="E1029" t="s">
        <v>15</v>
      </c>
      <c r="F1029" t="s">
        <v>22</v>
      </c>
      <c r="G1029" t="s">
        <v>17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400</v>
      </c>
      <c r="B1030" s="1">
        <v>45762</v>
      </c>
      <c r="C1030" t="s">
        <v>2</v>
      </c>
      <c r="D1030" t="s">
        <v>21</v>
      </c>
      <c r="E1030" t="s">
        <v>15</v>
      </c>
      <c r="F1030" t="s">
        <v>14</v>
      </c>
      <c r="G1030" t="s">
        <v>17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399</v>
      </c>
      <c r="B1031" s="1">
        <v>45681</v>
      </c>
      <c r="C1031" t="s">
        <v>2</v>
      </c>
      <c r="D1031" t="s">
        <v>16</v>
      </c>
      <c r="E1031" t="s">
        <v>15</v>
      </c>
      <c r="F1031" t="s">
        <v>18</v>
      </c>
      <c r="G1031" t="s">
        <v>29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398</v>
      </c>
      <c r="B1032" s="1">
        <v>45758</v>
      </c>
      <c r="C1032" t="s">
        <v>2</v>
      </c>
      <c r="D1032" t="s">
        <v>19</v>
      </c>
      <c r="E1032" t="s">
        <v>15</v>
      </c>
      <c r="F1032" t="s">
        <v>27</v>
      </c>
      <c r="G1032" t="s">
        <v>13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397</v>
      </c>
      <c r="B1033" s="1">
        <v>45796</v>
      </c>
      <c r="C1033" t="s">
        <v>2</v>
      </c>
      <c r="D1033" t="s">
        <v>16</v>
      </c>
      <c r="E1033" t="s">
        <v>15</v>
      </c>
      <c r="F1033" t="s">
        <v>14</v>
      </c>
      <c r="G1033" t="s">
        <v>17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396</v>
      </c>
      <c r="B1034" s="1">
        <v>45671</v>
      </c>
      <c r="C1034" t="s">
        <v>2</v>
      </c>
      <c r="D1034" t="s">
        <v>16</v>
      </c>
      <c r="E1034" t="s">
        <v>15</v>
      </c>
      <c r="F1034" t="s">
        <v>18</v>
      </c>
      <c r="G1034" t="s">
        <v>13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395</v>
      </c>
      <c r="B1035" s="1">
        <v>45716</v>
      </c>
      <c r="C1035" t="s">
        <v>2</v>
      </c>
      <c r="D1035" t="s">
        <v>20</v>
      </c>
      <c r="E1035" t="s">
        <v>25</v>
      </c>
      <c r="F1035" t="s">
        <v>18</v>
      </c>
      <c r="G1035" t="s">
        <v>13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394</v>
      </c>
      <c r="B1036" s="1">
        <v>45795</v>
      </c>
      <c r="C1036" t="s">
        <v>2</v>
      </c>
      <c r="D1036" t="s">
        <v>20</v>
      </c>
      <c r="E1036" t="s">
        <v>24</v>
      </c>
      <c r="F1036" t="s">
        <v>14</v>
      </c>
      <c r="G1036" t="s">
        <v>13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393</v>
      </c>
      <c r="B1037" s="1">
        <v>45661</v>
      </c>
      <c r="C1037" t="s">
        <v>2</v>
      </c>
      <c r="D1037" t="s">
        <v>16</v>
      </c>
      <c r="E1037" t="s">
        <v>15</v>
      </c>
      <c r="F1037" t="s">
        <v>22</v>
      </c>
      <c r="G1037" t="s">
        <v>17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392</v>
      </c>
      <c r="B1038" s="1">
        <v>45673</v>
      </c>
      <c r="C1038" t="s">
        <v>2</v>
      </c>
      <c r="D1038" t="s">
        <v>21</v>
      </c>
      <c r="E1038" t="s">
        <v>15</v>
      </c>
      <c r="F1038" t="s">
        <v>22</v>
      </c>
      <c r="G1038" t="s">
        <v>29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391</v>
      </c>
      <c r="B1039" s="1">
        <v>45730</v>
      </c>
      <c r="C1039" t="s">
        <v>2</v>
      </c>
      <c r="D1039" t="s">
        <v>21</v>
      </c>
      <c r="E1039" t="s">
        <v>15</v>
      </c>
      <c r="F1039" t="s">
        <v>22</v>
      </c>
      <c r="G1039" t="s">
        <v>29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390</v>
      </c>
      <c r="B1040" s="1">
        <v>45680</v>
      </c>
      <c r="C1040" t="s">
        <v>2</v>
      </c>
      <c r="D1040" t="s">
        <v>20</v>
      </c>
      <c r="E1040" t="s">
        <v>15</v>
      </c>
      <c r="F1040" t="s">
        <v>14</v>
      </c>
      <c r="G1040" t="s">
        <v>13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389</v>
      </c>
      <c r="B1041" s="1">
        <v>45691</v>
      </c>
      <c r="C1041" t="s">
        <v>2</v>
      </c>
      <c r="D1041" t="s">
        <v>16</v>
      </c>
      <c r="E1041" t="s">
        <v>25</v>
      </c>
      <c r="F1041" t="s">
        <v>18</v>
      </c>
      <c r="G1041" t="s">
        <v>13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388</v>
      </c>
      <c r="B1042" s="1">
        <v>45793</v>
      </c>
      <c r="C1042" t="s">
        <v>2</v>
      </c>
      <c r="D1042" t="s">
        <v>20</v>
      </c>
      <c r="E1042" t="s">
        <v>15</v>
      </c>
      <c r="F1042" t="s">
        <v>27</v>
      </c>
      <c r="G1042" t="s">
        <v>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387</v>
      </c>
      <c r="B1043" s="1">
        <v>45668</v>
      </c>
      <c r="C1043" t="s">
        <v>2</v>
      </c>
      <c r="D1043" t="s">
        <v>21</v>
      </c>
      <c r="E1043" t="s">
        <v>15</v>
      </c>
      <c r="F1043" t="s">
        <v>18</v>
      </c>
      <c r="G1043" t="s">
        <v>13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386</v>
      </c>
      <c r="B1044" s="1">
        <v>45802</v>
      </c>
      <c r="C1044" t="s">
        <v>2</v>
      </c>
      <c r="D1044" t="s">
        <v>16</v>
      </c>
      <c r="E1044" t="s">
        <v>25</v>
      </c>
      <c r="F1044" t="s">
        <v>18</v>
      </c>
      <c r="G1044" t="s">
        <v>17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385</v>
      </c>
      <c r="B1045" s="1">
        <v>45785</v>
      </c>
      <c r="C1045" t="s">
        <v>2</v>
      </c>
      <c r="D1045" t="s">
        <v>20</v>
      </c>
      <c r="E1045" t="s">
        <v>15</v>
      </c>
      <c r="F1045" t="s">
        <v>14</v>
      </c>
      <c r="G1045" t="s">
        <v>29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384</v>
      </c>
      <c r="B1046" s="1">
        <v>45714</v>
      </c>
      <c r="C1046" t="s">
        <v>2</v>
      </c>
      <c r="D1046" t="s">
        <v>20</v>
      </c>
      <c r="E1046" t="s">
        <v>25</v>
      </c>
      <c r="F1046" t="s">
        <v>32</v>
      </c>
      <c r="G1046" t="s">
        <v>13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383</v>
      </c>
      <c r="B1047" s="1">
        <v>45746</v>
      </c>
      <c r="C1047" t="s">
        <v>2</v>
      </c>
      <c r="D1047" t="s">
        <v>16</v>
      </c>
      <c r="E1047" t="s">
        <v>15</v>
      </c>
      <c r="F1047" t="s">
        <v>14</v>
      </c>
      <c r="G1047" t="s">
        <v>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382</v>
      </c>
      <c r="B1048" s="1">
        <v>45760</v>
      </c>
      <c r="C1048" t="s">
        <v>2</v>
      </c>
      <c r="D1048" t="s">
        <v>21</v>
      </c>
      <c r="E1048" t="s">
        <v>15</v>
      </c>
      <c r="F1048" t="s">
        <v>18</v>
      </c>
      <c r="G1048" t="s">
        <v>13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381</v>
      </c>
      <c r="B1049" s="1">
        <v>45708</v>
      </c>
      <c r="C1049" t="s">
        <v>2</v>
      </c>
      <c r="D1049" t="s">
        <v>20</v>
      </c>
      <c r="E1049" t="s">
        <v>32</v>
      </c>
      <c r="F1049" t="s">
        <v>14</v>
      </c>
      <c r="G1049" t="s">
        <v>13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380</v>
      </c>
      <c r="B1050" s="1">
        <v>45766</v>
      </c>
      <c r="C1050" t="s">
        <v>2</v>
      </c>
      <c r="D1050" t="s">
        <v>21</v>
      </c>
      <c r="E1050" t="s">
        <v>25</v>
      </c>
      <c r="F1050" t="s">
        <v>22</v>
      </c>
      <c r="G1050" t="s">
        <v>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379</v>
      </c>
      <c r="B1051" s="1">
        <v>45738</v>
      </c>
      <c r="C1051" t="s">
        <v>2</v>
      </c>
      <c r="D1051" t="s">
        <v>19</v>
      </c>
      <c r="E1051" t="s">
        <v>15</v>
      </c>
      <c r="F1051" t="s">
        <v>14</v>
      </c>
      <c r="G1051" t="s">
        <v>17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378</v>
      </c>
      <c r="B1052" s="1">
        <v>45716</v>
      </c>
      <c r="C1052" t="s">
        <v>2</v>
      </c>
      <c r="D1052" t="s">
        <v>16</v>
      </c>
      <c r="E1052" t="s">
        <v>15</v>
      </c>
      <c r="F1052" t="s">
        <v>23</v>
      </c>
      <c r="G1052" t="s">
        <v>13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377</v>
      </c>
      <c r="B1053" s="1">
        <v>45801</v>
      </c>
      <c r="C1053" t="s">
        <v>2</v>
      </c>
      <c r="D1053" t="s">
        <v>20</v>
      </c>
      <c r="E1053" t="s">
        <v>15</v>
      </c>
      <c r="F1053" t="s">
        <v>22</v>
      </c>
      <c r="G1053" t="s">
        <v>17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376</v>
      </c>
      <c r="B1054" s="1">
        <v>45691</v>
      </c>
      <c r="C1054" t="s">
        <v>2</v>
      </c>
      <c r="D1054" t="s">
        <v>16</v>
      </c>
      <c r="E1054" t="s">
        <v>25</v>
      </c>
      <c r="F1054" t="s">
        <v>23</v>
      </c>
      <c r="G1054" t="s">
        <v>17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375</v>
      </c>
      <c r="B1055" s="1">
        <v>45684</v>
      </c>
      <c r="C1055" t="s">
        <v>2</v>
      </c>
      <c r="D1055" t="s">
        <v>19</v>
      </c>
      <c r="E1055" t="s">
        <v>15</v>
      </c>
      <c r="F1055" t="s">
        <v>18</v>
      </c>
      <c r="G1055" t="s">
        <v>17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374</v>
      </c>
      <c r="B1056" s="1">
        <v>45764</v>
      </c>
      <c r="C1056" t="s">
        <v>2</v>
      </c>
      <c r="D1056" t="s">
        <v>20</v>
      </c>
      <c r="E1056" t="s">
        <v>15</v>
      </c>
      <c r="F1056" t="s">
        <v>18</v>
      </c>
      <c r="G1056" t="s">
        <v>17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373</v>
      </c>
      <c r="B1057" s="1">
        <v>45694</v>
      </c>
      <c r="C1057" t="s">
        <v>2</v>
      </c>
      <c r="D1057" t="s">
        <v>21</v>
      </c>
      <c r="E1057" t="s">
        <v>15</v>
      </c>
      <c r="F1057" t="s">
        <v>22</v>
      </c>
      <c r="G1057" t="s">
        <v>17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372</v>
      </c>
      <c r="B1058" s="1">
        <v>45767</v>
      </c>
      <c r="C1058" t="s">
        <v>2</v>
      </c>
      <c r="D1058" t="s">
        <v>19</v>
      </c>
      <c r="E1058" t="s">
        <v>15</v>
      </c>
      <c r="F1058" t="s">
        <v>14</v>
      </c>
      <c r="G1058" t="s">
        <v>17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371</v>
      </c>
      <c r="B1059" s="1">
        <v>45783</v>
      </c>
      <c r="C1059" t="s">
        <v>2</v>
      </c>
      <c r="D1059" t="s">
        <v>16</v>
      </c>
      <c r="E1059" t="s">
        <v>15</v>
      </c>
      <c r="F1059" t="s">
        <v>14</v>
      </c>
      <c r="G1059" t="s">
        <v>13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370</v>
      </c>
      <c r="B1060" s="1">
        <v>45793</v>
      </c>
      <c r="C1060" t="s">
        <v>2</v>
      </c>
      <c r="D1060" t="s">
        <v>19</v>
      </c>
      <c r="E1060" t="s">
        <v>15</v>
      </c>
      <c r="F1060" t="s">
        <v>18</v>
      </c>
      <c r="G1060" t="s">
        <v>17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369</v>
      </c>
      <c r="B1061" s="1">
        <v>45718</v>
      </c>
      <c r="C1061" t="s">
        <v>2</v>
      </c>
      <c r="D1061" t="s">
        <v>19</v>
      </c>
      <c r="E1061" t="s">
        <v>15</v>
      </c>
      <c r="F1061" t="s">
        <v>14</v>
      </c>
      <c r="G1061" t="s">
        <v>29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368</v>
      </c>
      <c r="B1062" s="1">
        <v>45756</v>
      </c>
      <c r="C1062" t="s">
        <v>2</v>
      </c>
      <c r="D1062" t="s">
        <v>21</v>
      </c>
      <c r="E1062" t="s">
        <v>15</v>
      </c>
      <c r="F1062" t="s">
        <v>22</v>
      </c>
      <c r="G1062" t="s">
        <v>17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367</v>
      </c>
      <c r="B1063" s="1">
        <v>45683</v>
      </c>
      <c r="C1063" t="s">
        <v>2</v>
      </c>
      <c r="D1063" t="s">
        <v>20</v>
      </c>
      <c r="E1063" t="s">
        <v>15</v>
      </c>
      <c r="F1063" t="s">
        <v>14</v>
      </c>
      <c r="G1063" t="s">
        <v>17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366</v>
      </c>
      <c r="B1064" s="1">
        <v>45713</v>
      </c>
      <c r="C1064" t="s">
        <v>2</v>
      </c>
      <c r="D1064" t="s">
        <v>19</v>
      </c>
      <c r="E1064" t="s">
        <v>15</v>
      </c>
      <c r="F1064" t="s">
        <v>14</v>
      </c>
      <c r="G1064" t="s">
        <v>13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365</v>
      </c>
      <c r="B1065" s="1">
        <v>45664</v>
      </c>
      <c r="C1065" t="s">
        <v>2</v>
      </c>
      <c r="D1065" t="s">
        <v>20</v>
      </c>
      <c r="E1065" t="s">
        <v>15</v>
      </c>
      <c r="F1065" t="s">
        <v>18</v>
      </c>
      <c r="G1065" t="s">
        <v>29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364</v>
      </c>
      <c r="B1066" s="1">
        <v>45724</v>
      </c>
      <c r="C1066" t="s">
        <v>2</v>
      </c>
      <c r="D1066" t="s">
        <v>19</v>
      </c>
      <c r="E1066" t="s">
        <v>15</v>
      </c>
      <c r="F1066" t="s">
        <v>22</v>
      </c>
      <c r="G1066" t="s">
        <v>13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363</v>
      </c>
      <c r="B1067" s="1">
        <v>45799</v>
      </c>
      <c r="C1067" t="s">
        <v>2</v>
      </c>
      <c r="D1067" t="s">
        <v>20</v>
      </c>
      <c r="E1067" t="s">
        <v>15</v>
      </c>
      <c r="F1067" t="s">
        <v>27</v>
      </c>
      <c r="G1067" t="s">
        <v>17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362</v>
      </c>
      <c r="B1068" s="1">
        <v>45765</v>
      </c>
      <c r="C1068" t="s">
        <v>2</v>
      </c>
      <c r="D1068" t="s">
        <v>20</v>
      </c>
      <c r="E1068" t="s">
        <v>15</v>
      </c>
      <c r="F1068" t="s">
        <v>14</v>
      </c>
      <c r="G1068" t="s">
        <v>29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361</v>
      </c>
      <c r="B1069" s="1">
        <v>45712</v>
      </c>
      <c r="C1069" t="s">
        <v>2</v>
      </c>
      <c r="D1069" t="s">
        <v>21</v>
      </c>
      <c r="E1069" t="s">
        <v>15</v>
      </c>
      <c r="F1069" t="s">
        <v>27</v>
      </c>
      <c r="G1069" t="s">
        <v>13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360</v>
      </c>
      <c r="B1070" s="1">
        <v>45699</v>
      </c>
      <c r="C1070" t="s">
        <v>2</v>
      </c>
      <c r="D1070" t="s">
        <v>16</v>
      </c>
      <c r="E1070" t="s">
        <v>15</v>
      </c>
      <c r="F1070" t="s">
        <v>18</v>
      </c>
      <c r="G1070" t="s">
        <v>17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359</v>
      </c>
      <c r="B1071" s="1">
        <v>45727</v>
      </c>
      <c r="C1071" t="s">
        <v>2</v>
      </c>
      <c r="D1071" t="s">
        <v>21</v>
      </c>
      <c r="E1071" t="s">
        <v>25</v>
      </c>
      <c r="F1071" t="s">
        <v>14</v>
      </c>
      <c r="G1071" t="s">
        <v>17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358</v>
      </c>
      <c r="B1072" s="1">
        <v>45758</v>
      </c>
      <c r="C1072" t="s">
        <v>2</v>
      </c>
      <c r="D1072" t="s">
        <v>20</v>
      </c>
      <c r="E1072" t="s">
        <v>24</v>
      </c>
      <c r="F1072" t="s">
        <v>27</v>
      </c>
      <c r="G1072" t="s">
        <v>17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357</v>
      </c>
      <c r="B1073" s="1">
        <v>45727</v>
      </c>
      <c r="C1073" t="s">
        <v>2</v>
      </c>
      <c r="D1073" t="s">
        <v>16</v>
      </c>
      <c r="E1073" t="s">
        <v>15</v>
      </c>
      <c r="F1073" t="s">
        <v>18</v>
      </c>
      <c r="G1073" t="s">
        <v>17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356</v>
      </c>
      <c r="B1074" s="1">
        <v>45799</v>
      </c>
      <c r="C1074" t="s">
        <v>2</v>
      </c>
      <c r="D1074" t="s">
        <v>20</v>
      </c>
      <c r="E1074" t="s">
        <v>15</v>
      </c>
      <c r="F1074" t="s">
        <v>27</v>
      </c>
      <c r="G1074" t="s">
        <v>17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58.235294117647001</v>
      </c>
    </row>
    <row r="1075" spans="1:16">
      <c r="A1075" t="s">
        <v>355</v>
      </c>
      <c r="B1075" s="1">
        <v>45710</v>
      </c>
      <c r="C1075" t="s">
        <v>2</v>
      </c>
      <c r="D1075" t="s">
        <v>19</v>
      </c>
      <c r="E1075" t="s">
        <v>25</v>
      </c>
      <c r="F1075" t="s">
        <v>18</v>
      </c>
      <c r="G1075" t="s">
        <v>17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354</v>
      </c>
      <c r="B1076" s="1">
        <v>45670</v>
      </c>
      <c r="C1076" t="s">
        <v>2</v>
      </c>
      <c r="D1076" t="s">
        <v>20</v>
      </c>
      <c r="E1076" t="s">
        <v>15</v>
      </c>
      <c r="F1076" t="s">
        <v>14</v>
      </c>
      <c r="G1076" t="s">
        <v>13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353</v>
      </c>
      <c r="B1077" s="1">
        <v>45796</v>
      </c>
      <c r="C1077" t="s">
        <v>2</v>
      </c>
      <c r="D1077" t="s">
        <v>19</v>
      </c>
      <c r="E1077" t="s">
        <v>15</v>
      </c>
      <c r="F1077" t="s">
        <v>18</v>
      </c>
      <c r="G1077" t="s">
        <v>17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352</v>
      </c>
      <c r="B1078" s="1">
        <v>45724</v>
      </c>
      <c r="C1078" t="s">
        <v>2</v>
      </c>
      <c r="D1078" t="s">
        <v>16</v>
      </c>
      <c r="E1078" t="s">
        <v>24</v>
      </c>
      <c r="F1078" t="s">
        <v>18</v>
      </c>
      <c r="G1078" t="s">
        <v>13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351</v>
      </c>
      <c r="B1079" s="1">
        <v>45767</v>
      </c>
      <c r="C1079" t="s">
        <v>2</v>
      </c>
      <c r="D1079" t="s">
        <v>19</v>
      </c>
      <c r="E1079" t="s">
        <v>15</v>
      </c>
      <c r="F1079" t="s">
        <v>18</v>
      </c>
      <c r="G1079" t="s">
        <v>17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350</v>
      </c>
      <c r="B1080" s="1">
        <v>45785</v>
      </c>
      <c r="C1080" t="s">
        <v>2</v>
      </c>
      <c r="D1080" t="s">
        <v>21</v>
      </c>
      <c r="E1080" t="s">
        <v>15</v>
      </c>
      <c r="F1080" t="s">
        <v>23</v>
      </c>
      <c r="G1080" t="s">
        <v>13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349</v>
      </c>
      <c r="B1081" s="1">
        <v>45787</v>
      </c>
      <c r="C1081" t="s">
        <v>2</v>
      </c>
      <c r="D1081" t="s">
        <v>19</v>
      </c>
      <c r="E1081" t="s">
        <v>15</v>
      </c>
      <c r="F1081" t="s">
        <v>18</v>
      </c>
      <c r="G1081" t="s">
        <v>13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348</v>
      </c>
      <c r="B1082" s="1">
        <v>45744</v>
      </c>
      <c r="C1082" t="s">
        <v>2</v>
      </c>
      <c r="D1082" t="s">
        <v>20</v>
      </c>
      <c r="E1082" t="s">
        <v>15</v>
      </c>
      <c r="F1082" t="s">
        <v>18</v>
      </c>
      <c r="G1082" t="s">
        <v>17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347</v>
      </c>
      <c r="B1083" s="1">
        <v>45777</v>
      </c>
      <c r="C1083" t="s">
        <v>2</v>
      </c>
      <c r="D1083" t="s">
        <v>20</v>
      </c>
      <c r="E1083" t="s">
        <v>15</v>
      </c>
      <c r="F1083" t="s">
        <v>14</v>
      </c>
      <c r="G1083" t="s">
        <v>29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346</v>
      </c>
      <c r="B1084" s="1">
        <v>45696</v>
      </c>
      <c r="C1084" t="s">
        <v>2</v>
      </c>
      <c r="D1084" t="s">
        <v>16</v>
      </c>
      <c r="E1084" t="s">
        <v>15</v>
      </c>
      <c r="F1084" t="s">
        <v>18</v>
      </c>
      <c r="G1084" t="s">
        <v>13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345</v>
      </c>
      <c r="B1085" s="1">
        <v>45723</v>
      </c>
      <c r="C1085" t="s">
        <v>2</v>
      </c>
      <c r="D1085" t="s">
        <v>19</v>
      </c>
      <c r="E1085" t="s">
        <v>15</v>
      </c>
      <c r="F1085" t="s">
        <v>27</v>
      </c>
      <c r="G1085" t="s">
        <v>29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344</v>
      </c>
      <c r="B1086" s="1">
        <v>45798</v>
      </c>
      <c r="C1086" t="s">
        <v>2</v>
      </c>
      <c r="D1086" t="s">
        <v>19</v>
      </c>
      <c r="E1086" t="s">
        <v>15</v>
      </c>
      <c r="F1086" t="s">
        <v>22</v>
      </c>
      <c r="G1086" t="s">
        <v>13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343</v>
      </c>
      <c r="B1087" s="1">
        <v>45759</v>
      </c>
      <c r="C1087" t="s">
        <v>2</v>
      </c>
      <c r="D1087" t="s">
        <v>19</v>
      </c>
      <c r="E1087" t="s">
        <v>15</v>
      </c>
      <c r="F1087" t="s">
        <v>22</v>
      </c>
      <c r="G1087" t="s">
        <v>17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342</v>
      </c>
      <c r="B1088" s="1">
        <v>45690</v>
      </c>
      <c r="C1088" t="s">
        <v>2</v>
      </c>
      <c r="D1088" t="s">
        <v>19</v>
      </c>
      <c r="E1088" t="s">
        <v>15</v>
      </c>
      <c r="F1088" t="s">
        <v>14</v>
      </c>
      <c r="G1088" t="s">
        <v>17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341</v>
      </c>
      <c r="B1089" s="1">
        <v>45769</v>
      </c>
      <c r="C1089" t="s">
        <v>2</v>
      </c>
      <c r="D1089" t="s">
        <v>16</v>
      </c>
      <c r="E1089" t="s">
        <v>24</v>
      </c>
      <c r="F1089" t="s">
        <v>27</v>
      </c>
      <c r="G1089" t="s">
        <v>17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340</v>
      </c>
      <c r="B1090" s="1">
        <v>45696</v>
      </c>
      <c r="C1090" t="s">
        <v>2</v>
      </c>
      <c r="D1090" t="s">
        <v>16</v>
      </c>
      <c r="E1090" t="s">
        <v>15</v>
      </c>
      <c r="F1090" t="s">
        <v>22</v>
      </c>
      <c r="G1090" t="s">
        <v>13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339</v>
      </c>
      <c r="B1091" s="1">
        <v>45681</v>
      </c>
      <c r="C1091" t="s">
        <v>2</v>
      </c>
      <c r="D1091" t="s">
        <v>19</v>
      </c>
      <c r="E1091" t="s">
        <v>25</v>
      </c>
      <c r="F1091" t="s">
        <v>23</v>
      </c>
      <c r="G1091" t="s">
        <v>17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338</v>
      </c>
      <c r="B1092" s="1">
        <v>45789</v>
      </c>
      <c r="C1092" t="s">
        <v>2</v>
      </c>
      <c r="D1092" t="s">
        <v>19</v>
      </c>
      <c r="E1092" t="s">
        <v>15</v>
      </c>
      <c r="F1092" t="s">
        <v>14</v>
      </c>
      <c r="G1092" t="s">
        <v>13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337</v>
      </c>
      <c r="B1093" s="1">
        <v>45746</v>
      </c>
      <c r="C1093" t="s">
        <v>2</v>
      </c>
      <c r="D1093" t="s">
        <v>16</v>
      </c>
      <c r="E1093" t="s">
        <v>15</v>
      </c>
      <c r="F1093" t="s">
        <v>18</v>
      </c>
      <c r="G1093" t="s">
        <v>13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336</v>
      </c>
      <c r="B1094" s="1">
        <v>45659</v>
      </c>
      <c r="C1094" t="s">
        <v>2</v>
      </c>
      <c r="D1094" t="s">
        <v>19</v>
      </c>
      <c r="E1094" t="s">
        <v>25</v>
      </c>
      <c r="F1094" t="s">
        <v>14</v>
      </c>
      <c r="G1094" t="s">
        <v>13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335</v>
      </c>
      <c r="B1095" s="1">
        <v>45737</v>
      </c>
      <c r="C1095" t="s">
        <v>2</v>
      </c>
      <c r="D1095" t="s">
        <v>19</v>
      </c>
      <c r="E1095" t="s">
        <v>24</v>
      </c>
      <c r="F1095" t="s">
        <v>23</v>
      </c>
      <c r="G1095" t="s">
        <v>13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334</v>
      </c>
      <c r="B1096" s="1">
        <v>45682</v>
      </c>
      <c r="C1096" t="s">
        <v>2</v>
      </c>
      <c r="D1096" t="s">
        <v>21</v>
      </c>
      <c r="E1096" t="s">
        <v>15</v>
      </c>
      <c r="F1096" t="s">
        <v>18</v>
      </c>
      <c r="G1096" t="s">
        <v>17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333</v>
      </c>
      <c r="B1097" s="1">
        <v>45669</v>
      </c>
      <c r="C1097" t="s">
        <v>2</v>
      </c>
      <c r="D1097" t="s">
        <v>19</v>
      </c>
      <c r="E1097" t="s">
        <v>24</v>
      </c>
      <c r="F1097" t="s">
        <v>22</v>
      </c>
      <c r="G1097" t="s">
        <v>17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332</v>
      </c>
      <c r="B1098" s="1">
        <v>45734</v>
      </c>
      <c r="C1098" t="s">
        <v>2</v>
      </c>
      <c r="D1098" t="s">
        <v>20</v>
      </c>
      <c r="E1098" t="s">
        <v>25</v>
      </c>
      <c r="F1098" t="s">
        <v>27</v>
      </c>
      <c r="G1098" t="s">
        <v>17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331</v>
      </c>
      <c r="B1099" s="1">
        <v>45742</v>
      </c>
      <c r="C1099" t="s">
        <v>2</v>
      </c>
      <c r="D1099" t="s">
        <v>20</v>
      </c>
      <c r="E1099" t="s">
        <v>15</v>
      </c>
      <c r="F1099" t="s">
        <v>14</v>
      </c>
      <c r="G1099" t="s">
        <v>13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330</v>
      </c>
      <c r="B1100" s="1">
        <v>45766</v>
      </c>
      <c r="C1100" t="s">
        <v>2</v>
      </c>
      <c r="D1100" t="s">
        <v>16</v>
      </c>
      <c r="E1100" t="s">
        <v>15</v>
      </c>
      <c r="F1100" t="s">
        <v>14</v>
      </c>
      <c r="G1100" t="s">
        <v>13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58.235294117647001</v>
      </c>
    </row>
    <row r="1101" spans="1:16">
      <c r="A1101" t="s">
        <v>329</v>
      </c>
      <c r="B1101" s="1">
        <v>45764</v>
      </c>
      <c r="C1101" t="s">
        <v>2</v>
      </c>
      <c r="D1101" t="s">
        <v>20</v>
      </c>
      <c r="E1101" t="s">
        <v>15</v>
      </c>
      <c r="F1101" t="s">
        <v>18</v>
      </c>
      <c r="G1101" t="s">
        <v>29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328</v>
      </c>
      <c r="B1102" s="1">
        <v>45803</v>
      </c>
      <c r="C1102" t="s">
        <v>2</v>
      </c>
      <c r="D1102" t="s">
        <v>19</v>
      </c>
      <c r="E1102" t="s">
        <v>15</v>
      </c>
      <c r="F1102" t="s">
        <v>14</v>
      </c>
      <c r="G1102" t="s">
        <v>17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327</v>
      </c>
      <c r="B1103" s="1">
        <v>45761</v>
      </c>
      <c r="C1103" t="s">
        <v>2</v>
      </c>
      <c r="D1103" t="s">
        <v>16</v>
      </c>
      <c r="E1103" t="s">
        <v>15</v>
      </c>
      <c r="F1103" t="s">
        <v>22</v>
      </c>
      <c r="G1103" t="s">
        <v>29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326</v>
      </c>
      <c r="B1104" s="1">
        <v>45680</v>
      </c>
      <c r="C1104" t="s">
        <v>2</v>
      </c>
      <c r="D1104" t="s">
        <v>19</v>
      </c>
      <c r="E1104" t="s">
        <v>15</v>
      </c>
      <c r="F1104" t="s">
        <v>18</v>
      </c>
      <c r="G1104" t="s">
        <v>13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325</v>
      </c>
      <c r="B1105" s="1">
        <v>45663</v>
      </c>
      <c r="C1105" t="s">
        <v>2</v>
      </c>
      <c r="D1105" t="s">
        <v>20</v>
      </c>
      <c r="E1105" t="s">
        <v>15</v>
      </c>
      <c r="F1105" t="s">
        <v>27</v>
      </c>
      <c r="G1105" t="s">
        <v>17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324</v>
      </c>
      <c r="B1106" s="1">
        <v>45808</v>
      </c>
      <c r="C1106" t="s">
        <v>2</v>
      </c>
      <c r="D1106" t="s">
        <v>21</v>
      </c>
      <c r="E1106" t="s">
        <v>15</v>
      </c>
      <c r="F1106" t="s">
        <v>23</v>
      </c>
      <c r="G1106" t="s">
        <v>13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323</v>
      </c>
      <c r="B1107" s="1">
        <v>45796</v>
      </c>
      <c r="C1107" t="s">
        <v>2</v>
      </c>
      <c r="D1107" t="s">
        <v>16</v>
      </c>
      <c r="E1107" t="s">
        <v>15</v>
      </c>
      <c r="F1107" t="s">
        <v>18</v>
      </c>
      <c r="G1107" t="s">
        <v>13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322</v>
      </c>
      <c r="B1108" s="1">
        <v>45713</v>
      </c>
      <c r="C1108" t="s">
        <v>2</v>
      </c>
      <c r="D1108" t="s">
        <v>16</v>
      </c>
      <c r="E1108" t="s">
        <v>15</v>
      </c>
      <c r="F1108" t="s">
        <v>18</v>
      </c>
      <c r="G1108" t="s">
        <v>17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321</v>
      </c>
      <c r="B1109" s="1">
        <v>45667</v>
      </c>
      <c r="C1109" t="s">
        <v>2</v>
      </c>
      <c r="D1109" t="s">
        <v>19</v>
      </c>
      <c r="E1109" t="s">
        <v>24</v>
      </c>
      <c r="F1109" t="s">
        <v>18</v>
      </c>
      <c r="G1109" t="s">
        <v>13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320</v>
      </c>
      <c r="B1110" s="1">
        <v>45790</v>
      </c>
      <c r="C1110" t="s">
        <v>2</v>
      </c>
      <c r="D1110" t="s">
        <v>16</v>
      </c>
      <c r="E1110" t="s">
        <v>24</v>
      </c>
      <c r="F1110" t="s">
        <v>14</v>
      </c>
      <c r="G1110" t="s">
        <v>17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319</v>
      </c>
      <c r="B1111" s="1">
        <v>45774</v>
      </c>
      <c r="C1111" t="s">
        <v>2</v>
      </c>
      <c r="D1111" t="s">
        <v>21</v>
      </c>
      <c r="E1111" t="s">
        <v>25</v>
      </c>
      <c r="F1111" t="s">
        <v>18</v>
      </c>
      <c r="G1111" t="s">
        <v>29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318</v>
      </c>
      <c r="B1112" s="1">
        <v>45750</v>
      </c>
      <c r="C1112" t="s">
        <v>2</v>
      </c>
      <c r="D1112" t="s">
        <v>19</v>
      </c>
      <c r="E1112" t="s">
        <v>15</v>
      </c>
      <c r="F1112" t="s">
        <v>18</v>
      </c>
      <c r="G1112" t="s">
        <v>17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317</v>
      </c>
      <c r="B1113" s="1">
        <v>45742</v>
      </c>
      <c r="C1113" t="s">
        <v>2</v>
      </c>
      <c r="D1113" t="s">
        <v>19</v>
      </c>
      <c r="E1113" t="s">
        <v>15</v>
      </c>
      <c r="F1113" t="s">
        <v>18</v>
      </c>
      <c r="G1113" t="s">
        <v>17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316</v>
      </c>
      <c r="B1114" s="1">
        <v>45688</v>
      </c>
      <c r="C1114" t="s">
        <v>2</v>
      </c>
      <c r="D1114" t="s">
        <v>19</v>
      </c>
      <c r="E1114" t="s">
        <v>15</v>
      </c>
      <c r="F1114" t="s">
        <v>18</v>
      </c>
      <c r="G1114" t="s">
        <v>13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315</v>
      </c>
      <c r="B1115" s="1">
        <v>45682</v>
      </c>
      <c r="C1115" t="s">
        <v>2</v>
      </c>
      <c r="D1115" t="s">
        <v>19</v>
      </c>
      <c r="E1115" t="s">
        <v>15</v>
      </c>
      <c r="F1115" t="s">
        <v>22</v>
      </c>
      <c r="G1115" t="s">
        <v>17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314</v>
      </c>
      <c r="B1116" s="1">
        <v>45694</v>
      </c>
      <c r="C1116" t="s">
        <v>2</v>
      </c>
      <c r="D1116" t="s">
        <v>21</v>
      </c>
      <c r="E1116" t="s">
        <v>15</v>
      </c>
      <c r="F1116" t="s">
        <v>27</v>
      </c>
      <c r="G1116" t="s">
        <v>13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313</v>
      </c>
      <c r="B1117" s="1">
        <v>45726</v>
      </c>
      <c r="C1117" t="s">
        <v>2</v>
      </c>
      <c r="D1117" t="s">
        <v>20</v>
      </c>
      <c r="E1117" t="s">
        <v>15</v>
      </c>
      <c r="F1117" t="s">
        <v>14</v>
      </c>
      <c r="G1117" t="s">
        <v>17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312</v>
      </c>
      <c r="B1118" s="1">
        <v>45683</v>
      </c>
      <c r="C1118" t="s">
        <v>2</v>
      </c>
      <c r="D1118" t="s">
        <v>21</v>
      </c>
      <c r="E1118" t="s">
        <v>15</v>
      </c>
      <c r="F1118" t="s">
        <v>18</v>
      </c>
      <c r="G1118" t="s">
        <v>13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311</v>
      </c>
      <c r="B1119" s="1">
        <v>45658</v>
      </c>
      <c r="C1119" t="s">
        <v>2</v>
      </c>
      <c r="D1119" t="s">
        <v>20</v>
      </c>
      <c r="E1119" t="s">
        <v>15</v>
      </c>
      <c r="F1119" t="s">
        <v>14</v>
      </c>
      <c r="G1119" t="s">
        <v>17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310</v>
      </c>
      <c r="B1120" s="1">
        <v>45775</v>
      </c>
      <c r="C1120" t="s">
        <v>2</v>
      </c>
      <c r="D1120" t="s">
        <v>16</v>
      </c>
      <c r="E1120" t="s">
        <v>25</v>
      </c>
      <c r="F1120" t="s">
        <v>22</v>
      </c>
      <c r="G1120" t="s">
        <v>13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309</v>
      </c>
      <c r="B1121" s="1">
        <v>45751</v>
      </c>
      <c r="C1121" t="s">
        <v>2</v>
      </c>
      <c r="D1121" t="s">
        <v>16</v>
      </c>
      <c r="E1121" t="s">
        <v>15</v>
      </c>
      <c r="F1121" t="s">
        <v>18</v>
      </c>
      <c r="G1121" t="s">
        <v>29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308</v>
      </c>
      <c r="B1122" s="1">
        <v>45718</v>
      </c>
      <c r="C1122" t="s">
        <v>2</v>
      </c>
      <c r="D1122" t="s">
        <v>20</v>
      </c>
      <c r="E1122" t="s">
        <v>15</v>
      </c>
      <c r="F1122" t="s">
        <v>14</v>
      </c>
      <c r="G1122" t="s">
        <v>17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307</v>
      </c>
      <c r="B1123" s="1">
        <v>45735</v>
      </c>
      <c r="C1123" t="s">
        <v>2</v>
      </c>
      <c r="D1123" t="s">
        <v>19</v>
      </c>
      <c r="E1123" t="s">
        <v>24</v>
      </c>
      <c r="F1123" t="s">
        <v>18</v>
      </c>
      <c r="G1123" t="s">
        <v>13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306</v>
      </c>
      <c r="B1124" s="1">
        <v>45677</v>
      </c>
      <c r="C1124" t="s">
        <v>2</v>
      </c>
      <c r="D1124" t="s">
        <v>19</v>
      </c>
      <c r="E1124" t="s">
        <v>25</v>
      </c>
      <c r="F1124" t="s">
        <v>18</v>
      </c>
      <c r="G1124" t="s">
        <v>13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305</v>
      </c>
      <c r="B1125" s="1">
        <v>45750</v>
      </c>
      <c r="C1125" t="s">
        <v>2</v>
      </c>
      <c r="D1125" t="s">
        <v>20</v>
      </c>
      <c r="E1125" t="s">
        <v>15</v>
      </c>
      <c r="F1125" t="s">
        <v>14</v>
      </c>
      <c r="G1125" t="s">
        <v>17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304</v>
      </c>
      <c r="B1126" s="1">
        <v>45668</v>
      </c>
      <c r="C1126" t="s">
        <v>2</v>
      </c>
      <c r="D1126" t="s">
        <v>20</v>
      </c>
      <c r="E1126" t="s">
        <v>25</v>
      </c>
      <c r="F1126" t="s">
        <v>22</v>
      </c>
      <c r="G1126" t="s">
        <v>17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303</v>
      </c>
      <c r="B1127" s="1">
        <v>45690</v>
      </c>
      <c r="C1127" t="s">
        <v>2</v>
      </c>
      <c r="D1127" t="s">
        <v>21</v>
      </c>
      <c r="E1127" t="s">
        <v>25</v>
      </c>
      <c r="F1127" t="s">
        <v>22</v>
      </c>
      <c r="G1127" t="s">
        <v>13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302</v>
      </c>
      <c r="B1128" s="1">
        <v>45748</v>
      </c>
      <c r="C1128" t="s">
        <v>2</v>
      </c>
      <c r="D1128" t="s">
        <v>19</v>
      </c>
      <c r="E1128" t="s">
        <v>15</v>
      </c>
      <c r="F1128" t="s">
        <v>18</v>
      </c>
      <c r="G1128" t="s">
        <v>13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301</v>
      </c>
      <c r="B1129" s="1">
        <v>45799</v>
      </c>
      <c r="C1129" t="s">
        <v>2</v>
      </c>
      <c r="D1129" t="s">
        <v>20</v>
      </c>
      <c r="E1129" t="s">
        <v>15</v>
      </c>
      <c r="F1129" t="s">
        <v>18</v>
      </c>
      <c r="G1129" t="s">
        <v>13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300</v>
      </c>
      <c r="B1130" s="1">
        <v>45708</v>
      </c>
      <c r="C1130" t="s">
        <v>2</v>
      </c>
      <c r="D1130" t="s">
        <v>21</v>
      </c>
      <c r="E1130" t="s">
        <v>15</v>
      </c>
      <c r="F1130" t="s">
        <v>18</v>
      </c>
      <c r="G1130" t="s">
        <v>13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299</v>
      </c>
      <c r="B1131" s="1">
        <v>45737</v>
      </c>
      <c r="C1131" t="s">
        <v>2</v>
      </c>
      <c r="D1131" t="s">
        <v>21</v>
      </c>
      <c r="E1131" t="s">
        <v>15</v>
      </c>
      <c r="F1131" t="s">
        <v>18</v>
      </c>
      <c r="G1131" t="s">
        <v>17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298</v>
      </c>
      <c r="B1132" s="1">
        <v>45778</v>
      </c>
      <c r="C1132" t="s">
        <v>2</v>
      </c>
      <c r="D1132" t="s">
        <v>21</v>
      </c>
      <c r="E1132" t="s">
        <v>25</v>
      </c>
      <c r="F1132" t="s">
        <v>27</v>
      </c>
      <c r="G1132" t="s">
        <v>17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297</v>
      </c>
      <c r="B1133" s="1">
        <v>45663</v>
      </c>
      <c r="C1133" t="s">
        <v>2</v>
      </c>
      <c r="D1133" t="s">
        <v>21</v>
      </c>
      <c r="E1133" t="s">
        <v>15</v>
      </c>
      <c r="F1133" t="s">
        <v>14</v>
      </c>
      <c r="G1133" t="s">
        <v>13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296</v>
      </c>
      <c r="B1134" s="1">
        <v>45759</v>
      </c>
      <c r="C1134" t="s">
        <v>2</v>
      </c>
      <c r="D1134" t="s">
        <v>16</v>
      </c>
      <c r="E1134" t="s">
        <v>25</v>
      </c>
      <c r="F1134" t="s">
        <v>14</v>
      </c>
      <c r="G1134" t="s">
        <v>29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295</v>
      </c>
      <c r="B1135" s="1">
        <v>45765</v>
      </c>
      <c r="C1135" t="s">
        <v>2</v>
      </c>
      <c r="D1135" t="s">
        <v>16</v>
      </c>
      <c r="E1135" t="s">
        <v>15</v>
      </c>
      <c r="F1135" t="s">
        <v>32</v>
      </c>
      <c r="G1135" t="s">
        <v>13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294</v>
      </c>
      <c r="B1136" s="1">
        <v>45740</v>
      </c>
      <c r="C1136" t="s">
        <v>2</v>
      </c>
      <c r="D1136" t="s">
        <v>20</v>
      </c>
      <c r="E1136" t="s">
        <v>15</v>
      </c>
      <c r="F1136" t="s">
        <v>22</v>
      </c>
      <c r="G1136" t="s">
        <v>13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293</v>
      </c>
      <c r="B1137" s="1">
        <v>45734</v>
      </c>
      <c r="C1137" t="s">
        <v>2</v>
      </c>
      <c r="D1137" t="s">
        <v>20</v>
      </c>
      <c r="E1137" t="s">
        <v>25</v>
      </c>
      <c r="F1137" t="s">
        <v>23</v>
      </c>
      <c r="G1137" t="s">
        <v>29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292</v>
      </c>
      <c r="B1138" s="1">
        <v>45777</v>
      </c>
      <c r="C1138" t="s">
        <v>2</v>
      </c>
      <c r="D1138" t="s">
        <v>19</v>
      </c>
      <c r="E1138" t="s">
        <v>24</v>
      </c>
      <c r="F1138" t="s">
        <v>14</v>
      </c>
      <c r="G1138" t="s">
        <v>13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291</v>
      </c>
      <c r="B1139" s="1">
        <v>45682</v>
      </c>
      <c r="C1139" t="s">
        <v>2</v>
      </c>
      <c r="D1139" t="s">
        <v>21</v>
      </c>
      <c r="E1139" t="s">
        <v>15</v>
      </c>
      <c r="F1139" t="s">
        <v>23</v>
      </c>
      <c r="G1139" t="s">
        <v>17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290</v>
      </c>
      <c r="B1140" s="1">
        <v>45757</v>
      </c>
      <c r="C1140" t="s">
        <v>2</v>
      </c>
      <c r="D1140" t="s">
        <v>19</v>
      </c>
      <c r="E1140" t="s">
        <v>15</v>
      </c>
      <c r="F1140" t="s">
        <v>18</v>
      </c>
      <c r="G1140" t="s">
        <v>17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289</v>
      </c>
      <c r="B1141" s="1">
        <v>45667</v>
      </c>
      <c r="C1141" t="s">
        <v>2</v>
      </c>
      <c r="D1141" t="s">
        <v>21</v>
      </c>
      <c r="E1141" t="s">
        <v>15</v>
      </c>
      <c r="F1141" t="s">
        <v>22</v>
      </c>
      <c r="G1141" t="s">
        <v>17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288</v>
      </c>
      <c r="B1142" s="1">
        <v>45699</v>
      </c>
      <c r="C1142" t="s">
        <v>2</v>
      </c>
      <c r="D1142" t="s">
        <v>19</v>
      </c>
      <c r="E1142" t="s">
        <v>15</v>
      </c>
      <c r="F1142" t="s">
        <v>14</v>
      </c>
      <c r="G1142" t="s">
        <v>17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287</v>
      </c>
      <c r="B1143" s="1">
        <v>45778</v>
      </c>
      <c r="C1143" t="s">
        <v>2</v>
      </c>
      <c r="D1143" t="s">
        <v>20</v>
      </c>
      <c r="E1143" t="s">
        <v>15</v>
      </c>
      <c r="F1143" t="s">
        <v>22</v>
      </c>
      <c r="G1143" t="s">
        <v>13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286</v>
      </c>
      <c r="B1144" s="1">
        <v>45675</v>
      </c>
      <c r="C1144" t="s">
        <v>2</v>
      </c>
      <c r="D1144" t="s">
        <v>20</v>
      </c>
      <c r="E1144" t="s">
        <v>15</v>
      </c>
      <c r="F1144" t="s">
        <v>18</v>
      </c>
      <c r="G1144" t="s">
        <v>17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285</v>
      </c>
      <c r="B1145" s="1">
        <v>45659</v>
      </c>
      <c r="C1145" t="s">
        <v>2</v>
      </c>
      <c r="D1145" t="s">
        <v>16</v>
      </c>
      <c r="E1145" t="s">
        <v>15</v>
      </c>
      <c r="F1145" t="s">
        <v>14</v>
      </c>
      <c r="G1145" t="s">
        <v>17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284</v>
      </c>
      <c r="B1146" s="1">
        <v>45788</v>
      </c>
      <c r="C1146" t="s">
        <v>2</v>
      </c>
      <c r="D1146" t="s">
        <v>21</v>
      </c>
      <c r="E1146" t="s">
        <v>15</v>
      </c>
      <c r="F1146" t="s">
        <v>18</v>
      </c>
      <c r="G1146" t="s">
        <v>17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283</v>
      </c>
      <c r="B1147" s="1">
        <v>45738</v>
      </c>
      <c r="C1147" t="s">
        <v>2</v>
      </c>
      <c r="D1147" t="s">
        <v>16</v>
      </c>
      <c r="E1147" t="s">
        <v>15</v>
      </c>
      <c r="F1147" t="s">
        <v>27</v>
      </c>
      <c r="G1147" t="s">
        <v>17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282</v>
      </c>
      <c r="B1148" s="1">
        <v>45779</v>
      </c>
      <c r="C1148" t="s">
        <v>2</v>
      </c>
      <c r="D1148" t="s">
        <v>19</v>
      </c>
      <c r="E1148" t="s">
        <v>15</v>
      </c>
      <c r="F1148" t="s">
        <v>22</v>
      </c>
      <c r="G1148" t="s">
        <v>29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281</v>
      </c>
      <c r="B1149" s="1">
        <v>45803</v>
      </c>
      <c r="C1149" t="s">
        <v>2</v>
      </c>
      <c r="D1149" t="s">
        <v>20</v>
      </c>
      <c r="E1149" t="s">
        <v>25</v>
      </c>
      <c r="F1149" t="s">
        <v>32</v>
      </c>
      <c r="G1149" t="s">
        <v>13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280</v>
      </c>
      <c r="B1150" s="1">
        <v>45729</v>
      </c>
      <c r="C1150" t="s">
        <v>2</v>
      </c>
      <c r="D1150" t="s">
        <v>19</v>
      </c>
      <c r="E1150" t="s">
        <v>15</v>
      </c>
      <c r="F1150" t="s">
        <v>18</v>
      </c>
      <c r="G1150" t="s">
        <v>13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279</v>
      </c>
      <c r="B1151" s="1">
        <v>45794</v>
      </c>
      <c r="C1151" t="s">
        <v>2</v>
      </c>
      <c r="D1151" t="s">
        <v>19</v>
      </c>
      <c r="E1151" t="s">
        <v>25</v>
      </c>
      <c r="F1151" t="s">
        <v>14</v>
      </c>
      <c r="G1151" t="s">
        <v>17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278</v>
      </c>
      <c r="B1152" s="1">
        <v>45729</v>
      </c>
      <c r="C1152" t="s">
        <v>2</v>
      </c>
      <c r="D1152" t="s">
        <v>16</v>
      </c>
      <c r="E1152" t="s">
        <v>25</v>
      </c>
      <c r="F1152" t="s">
        <v>27</v>
      </c>
      <c r="G1152" t="s">
        <v>29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277</v>
      </c>
      <c r="B1153" s="1">
        <v>45699</v>
      </c>
      <c r="C1153" t="s">
        <v>2</v>
      </c>
      <c r="D1153" t="s">
        <v>20</v>
      </c>
      <c r="E1153" t="s">
        <v>25</v>
      </c>
      <c r="F1153" t="s">
        <v>18</v>
      </c>
      <c r="G1153" t="s">
        <v>13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276</v>
      </c>
      <c r="B1154" s="1">
        <v>45717</v>
      </c>
      <c r="C1154" t="s">
        <v>2</v>
      </c>
      <c r="D1154" t="s">
        <v>21</v>
      </c>
      <c r="E1154" t="s">
        <v>15</v>
      </c>
      <c r="F1154" t="s">
        <v>22</v>
      </c>
      <c r="G1154" t="s">
        <v>17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275</v>
      </c>
      <c r="B1155" s="1">
        <v>45762</v>
      </c>
      <c r="C1155" t="s">
        <v>2</v>
      </c>
      <c r="D1155" t="s">
        <v>21</v>
      </c>
      <c r="E1155" t="s">
        <v>15</v>
      </c>
      <c r="F1155" t="s">
        <v>18</v>
      </c>
      <c r="G1155" t="s">
        <v>13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274</v>
      </c>
      <c r="B1156" s="1">
        <v>45690</v>
      </c>
      <c r="C1156" t="s">
        <v>2</v>
      </c>
      <c r="D1156" t="s">
        <v>20</v>
      </c>
      <c r="E1156" t="s">
        <v>15</v>
      </c>
      <c r="F1156" t="s">
        <v>18</v>
      </c>
      <c r="G1156" t="s">
        <v>29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273</v>
      </c>
      <c r="B1157" s="1">
        <v>45796</v>
      </c>
      <c r="C1157" t="s">
        <v>2</v>
      </c>
      <c r="D1157" t="s">
        <v>19</v>
      </c>
      <c r="E1157" t="s">
        <v>15</v>
      </c>
      <c r="F1157" t="s">
        <v>23</v>
      </c>
      <c r="G1157" t="s">
        <v>17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272</v>
      </c>
      <c r="B1158" s="1">
        <v>45662</v>
      </c>
      <c r="C1158" t="s">
        <v>2</v>
      </c>
      <c r="D1158" t="s">
        <v>21</v>
      </c>
      <c r="E1158" t="s">
        <v>15</v>
      </c>
      <c r="F1158" t="s">
        <v>27</v>
      </c>
      <c r="G1158" t="s">
        <v>17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271</v>
      </c>
      <c r="B1159" s="1">
        <v>45724</v>
      </c>
      <c r="C1159" t="s">
        <v>2</v>
      </c>
      <c r="D1159" t="s">
        <v>19</v>
      </c>
      <c r="E1159" t="s">
        <v>15</v>
      </c>
      <c r="F1159" t="s">
        <v>14</v>
      </c>
      <c r="G1159" t="s">
        <v>17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270</v>
      </c>
      <c r="B1160" s="1">
        <v>45728</v>
      </c>
      <c r="C1160" t="s">
        <v>2</v>
      </c>
      <c r="D1160" t="s">
        <v>21</v>
      </c>
      <c r="E1160" t="s">
        <v>15</v>
      </c>
      <c r="F1160" t="s">
        <v>23</v>
      </c>
      <c r="G1160" t="s">
        <v>13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269</v>
      </c>
      <c r="B1161" s="1">
        <v>45681</v>
      </c>
      <c r="C1161" t="s">
        <v>2</v>
      </c>
      <c r="D1161" t="s">
        <v>21</v>
      </c>
      <c r="E1161" t="s">
        <v>15</v>
      </c>
      <c r="F1161" t="s">
        <v>18</v>
      </c>
      <c r="G1161" t="s">
        <v>17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268</v>
      </c>
      <c r="B1162" s="1">
        <v>45799</v>
      </c>
      <c r="C1162" t="s">
        <v>2</v>
      </c>
      <c r="D1162" t="s">
        <v>19</v>
      </c>
      <c r="E1162" t="s">
        <v>15</v>
      </c>
      <c r="F1162" t="s">
        <v>14</v>
      </c>
      <c r="G1162" t="s">
        <v>13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267</v>
      </c>
      <c r="B1163" s="1">
        <v>45743</v>
      </c>
      <c r="C1163" t="s">
        <v>2</v>
      </c>
      <c r="D1163" t="s">
        <v>19</v>
      </c>
      <c r="E1163" t="s">
        <v>15</v>
      </c>
      <c r="F1163" t="s">
        <v>14</v>
      </c>
      <c r="G1163" t="s">
        <v>17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266</v>
      </c>
      <c r="B1164" s="1">
        <v>45659</v>
      </c>
      <c r="C1164" t="s">
        <v>2</v>
      </c>
      <c r="D1164" t="s">
        <v>21</v>
      </c>
      <c r="E1164" t="s">
        <v>15</v>
      </c>
      <c r="F1164" t="s">
        <v>22</v>
      </c>
      <c r="G1164" t="s">
        <v>17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265</v>
      </c>
      <c r="B1165" s="1">
        <v>45712</v>
      </c>
      <c r="C1165" t="s">
        <v>2</v>
      </c>
      <c r="D1165" t="s">
        <v>16</v>
      </c>
      <c r="E1165" t="s">
        <v>15</v>
      </c>
      <c r="F1165" t="s">
        <v>14</v>
      </c>
      <c r="G1165" t="s">
        <v>17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264</v>
      </c>
      <c r="B1166" s="1">
        <v>45717</v>
      </c>
      <c r="C1166" t="s">
        <v>2</v>
      </c>
      <c r="D1166" t="s">
        <v>21</v>
      </c>
      <c r="E1166" t="s">
        <v>25</v>
      </c>
      <c r="F1166" t="s">
        <v>18</v>
      </c>
      <c r="G1166" t="s">
        <v>13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263</v>
      </c>
      <c r="B1167" s="1">
        <v>45742</v>
      </c>
      <c r="C1167" t="s">
        <v>2</v>
      </c>
      <c r="D1167" t="s">
        <v>19</v>
      </c>
      <c r="E1167" t="s">
        <v>24</v>
      </c>
      <c r="F1167" t="s">
        <v>18</v>
      </c>
      <c r="G1167" t="s">
        <v>13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262</v>
      </c>
      <c r="B1168" s="1">
        <v>45802</v>
      </c>
      <c r="C1168" t="s">
        <v>2</v>
      </c>
      <c r="D1168" t="s">
        <v>20</v>
      </c>
      <c r="E1168" t="s">
        <v>15</v>
      </c>
      <c r="F1168" t="s">
        <v>14</v>
      </c>
      <c r="G1168" t="s">
        <v>17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261</v>
      </c>
      <c r="B1169" s="1">
        <v>45713</v>
      </c>
      <c r="C1169" t="s">
        <v>2</v>
      </c>
      <c r="D1169" t="s">
        <v>21</v>
      </c>
      <c r="E1169" t="s">
        <v>15</v>
      </c>
      <c r="F1169" t="s">
        <v>27</v>
      </c>
      <c r="G1169" t="s">
        <v>29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260</v>
      </c>
      <c r="B1170" s="1">
        <v>45739</v>
      </c>
      <c r="C1170" t="s">
        <v>2</v>
      </c>
      <c r="D1170" t="s">
        <v>19</v>
      </c>
      <c r="E1170" t="s">
        <v>15</v>
      </c>
      <c r="F1170" t="s">
        <v>22</v>
      </c>
      <c r="G1170" t="s">
        <v>17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259</v>
      </c>
      <c r="B1171" s="1">
        <v>45768</v>
      </c>
      <c r="C1171" t="s">
        <v>2</v>
      </c>
      <c r="D1171" t="s">
        <v>21</v>
      </c>
      <c r="E1171" t="s">
        <v>15</v>
      </c>
      <c r="F1171" t="s">
        <v>27</v>
      </c>
      <c r="G1171" t="s">
        <v>17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258</v>
      </c>
      <c r="B1172" s="1">
        <v>45798</v>
      </c>
      <c r="C1172" t="s">
        <v>2</v>
      </c>
      <c r="D1172" t="s">
        <v>16</v>
      </c>
      <c r="E1172" t="s">
        <v>15</v>
      </c>
      <c r="F1172" t="s">
        <v>18</v>
      </c>
      <c r="G1172" t="s">
        <v>29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257</v>
      </c>
      <c r="B1173" s="1">
        <v>45772</v>
      </c>
      <c r="C1173" t="s">
        <v>2</v>
      </c>
      <c r="D1173" t="s">
        <v>16</v>
      </c>
      <c r="E1173" t="s">
        <v>25</v>
      </c>
      <c r="F1173" t="s">
        <v>22</v>
      </c>
      <c r="G1173" t="s">
        <v>17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256</v>
      </c>
      <c r="B1174" s="1">
        <v>45800</v>
      </c>
      <c r="C1174" t="s">
        <v>2</v>
      </c>
      <c r="D1174" t="s">
        <v>21</v>
      </c>
      <c r="E1174" t="s">
        <v>15</v>
      </c>
      <c r="F1174" t="s">
        <v>27</v>
      </c>
      <c r="G1174" t="s">
        <v>13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255</v>
      </c>
      <c r="B1175" s="1">
        <v>45734</v>
      </c>
      <c r="C1175" t="s">
        <v>2</v>
      </c>
      <c r="D1175" t="s">
        <v>19</v>
      </c>
      <c r="E1175" t="s">
        <v>15</v>
      </c>
      <c r="F1175" t="s">
        <v>23</v>
      </c>
      <c r="G1175" t="s">
        <v>17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254</v>
      </c>
      <c r="B1176" s="1">
        <v>45660</v>
      </c>
      <c r="C1176" t="s">
        <v>2</v>
      </c>
      <c r="D1176" t="s">
        <v>19</v>
      </c>
      <c r="E1176" t="s">
        <v>24</v>
      </c>
      <c r="F1176" t="s">
        <v>18</v>
      </c>
      <c r="G1176" t="s">
        <v>17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253</v>
      </c>
      <c r="B1177" s="1">
        <v>45696</v>
      </c>
      <c r="C1177" t="s">
        <v>2</v>
      </c>
      <c r="D1177" t="s">
        <v>21</v>
      </c>
      <c r="E1177" t="s">
        <v>25</v>
      </c>
      <c r="F1177" t="s">
        <v>18</v>
      </c>
      <c r="G1177" t="s">
        <v>17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252</v>
      </c>
      <c r="B1178" s="1">
        <v>45692</v>
      </c>
      <c r="C1178" t="s">
        <v>2</v>
      </c>
      <c r="D1178" t="s">
        <v>20</v>
      </c>
      <c r="E1178" t="s">
        <v>32</v>
      </c>
      <c r="F1178" t="s">
        <v>14</v>
      </c>
      <c r="G1178" t="s">
        <v>13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251</v>
      </c>
      <c r="B1179" s="1">
        <v>45673</v>
      </c>
      <c r="C1179" t="s">
        <v>2</v>
      </c>
      <c r="D1179" t="s">
        <v>16</v>
      </c>
      <c r="E1179" t="s">
        <v>15</v>
      </c>
      <c r="F1179" t="s">
        <v>14</v>
      </c>
      <c r="G1179" t="s">
        <v>17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250</v>
      </c>
      <c r="B1180" s="1">
        <v>45751</v>
      </c>
      <c r="C1180" t="s">
        <v>2</v>
      </c>
      <c r="D1180" t="s">
        <v>21</v>
      </c>
      <c r="E1180" t="s">
        <v>25</v>
      </c>
      <c r="F1180" t="s">
        <v>14</v>
      </c>
      <c r="G1180" t="s">
        <v>17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249</v>
      </c>
      <c r="B1181" s="1">
        <v>45680</v>
      </c>
      <c r="C1181" t="s">
        <v>2</v>
      </c>
      <c r="D1181" t="s">
        <v>16</v>
      </c>
      <c r="E1181" t="s">
        <v>25</v>
      </c>
      <c r="F1181" t="s">
        <v>14</v>
      </c>
      <c r="G1181" t="s">
        <v>17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248</v>
      </c>
      <c r="B1182" s="1">
        <v>45738</v>
      </c>
      <c r="C1182" t="s">
        <v>2</v>
      </c>
      <c r="D1182" t="s">
        <v>19</v>
      </c>
      <c r="E1182" t="s">
        <v>25</v>
      </c>
      <c r="F1182" t="s">
        <v>14</v>
      </c>
      <c r="G1182" t="s">
        <v>17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247</v>
      </c>
      <c r="B1183" s="1">
        <v>45690</v>
      </c>
      <c r="C1183" t="s">
        <v>2</v>
      </c>
      <c r="D1183" t="s">
        <v>20</v>
      </c>
      <c r="E1183" t="s">
        <v>24</v>
      </c>
      <c r="F1183" t="s">
        <v>22</v>
      </c>
      <c r="G1183" t="s">
        <v>29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246</v>
      </c>
      <c r="B1184" s="1">
        <v>45688</v>
      </c>
      <c r="C1184" t="s">
        <v>2</v>
      </c>
      <c r="D1184" t="s">
        <v>16</v>
      </c>
      <c r="E1184" t="s">
        <v>25</v>
      </c>
      <c r="F1184" t="s">
        <v>14</v>
      </c>
      <c r="G1184" t="s">
        <v>17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245</v>
      </c>
      <c r="B1185" s="1">
        <v>45804</v>
      </c>
      <c r="C1185" t="s">
        <v>2</v>
      </c>
      <c r="D1185" t="s">
        <v>21</v>
      </c>
      <c r="E1185" t="s">
        <v>15</v>
      </c>
      <c r="F1185" t="s">
        <v>18</v>
      </c>
      <c r="G1185" t="s">
        <v>13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244</v>
      </c>
      <c r="B1186" s="1">
        <v>45784</v>
      </c>
      <c r="C1186" t="s">
        <v>2</v>
      </c>
      <c r="D1186" t="s">
        <v>16</v>
      </c>
      <c r="E1186" t="s">
        <v>15</v>
      </c>
      <c r="F1186" t="s">
        <v>18</v>
      </c>
      <c r="G1186" t="s">
        <v>29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243</v>
      </c>
      <c r="B1187" s="1">
        <v>45785</v>
      </c>
      <c r="C1187" t="s">
        <v>2</v>
      </c>
      <c r="D1187" t="s">
        <v>16</v>
      </c>
      <c r="E1187" t="s">
        <v>25</v>
      </c>
      <c r="F1187" t="s">
        <v>14</v>
      </c>
      <c r="G1187" t="s">
        <v>13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242</v>
      </c>
      <c r="B1188" s="1">
        <v>45672</v>
      </c>
      <c r="C1188" t="s">
        <v>2</v>
      </c>
      <c r="D1188" t="s">
        <v>21</v>
      </c>
      <c r="E1188" t="s">
        <v>25</v>
      </c>
      <c r="F1188" t="s">
        <v>23</v>
      </c>
      <c r="G1188" t="s">
        <v>17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241</v>
      </c>
      <c r="B1189" s="1">
        <v>45675</v>
      </c>
      <c r="C1189" t="s">
        <v>2</v>
      </c>
      <c r="D1189" t="s">
        <v>16</v>
      </c>
      <c r="E1189" t="s">
        <v>15</v>
      </c>
      <c r="F1189" t="s">
        <v>14</v>
      </c>
      <c r="G1189" t="s">
        <v>17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240</v>
      </c>
      <c r="B1190" s="1">
        <v>45763</v>
      </c>
      <c r="C1190" t="s">
        <v>2</v>
      </c>
      <c r="D1190" t="s">
        <v>20</v>
      </c>
      <c r="E1190" t="s">
        <v>32</v>
      </c>
      <c r="F1190" t="s">
        <v>27</v>
      </c>
      <c r="G1190" t="s">
        <v>17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239</v>
      </c>
      <c r="B1191" s="1">
        <v>45704</v>
      </c>
      <c r="C1191" t="s">
        <v>2</v>
      </c>
      <c r="D1191" t="s">
        <v>20</v>
      </c>
      <c r="E1191" t="s">
        <v>25</v>
      </c>
      <c r="F1191" t="s">
        <v>14</v>
      </c>
      <c r="G1191" t="s">
        <v>17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238</v>
      </c>
      <c r="B1192" s="1">
        <v>45764</v>
      </c>
      <c r="C1192" t="s">
        <v>2</v>
      </c>
      <c r="D1192" t="s">
        <v>19</v>
      </c>
      <c r="E1192" t="s">
        <v>25</v>
      </c>
      <c r="F1192" t="s">
        <v>27</v>
      </c>
      <c r="G1192" t="s">
        <v>29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237</v>
      </c>
      <c r="B1193" s="1">
        <v>45777</v>
      </c>
      <c r="C1193" t="s">
        <v>2</v>
      </c>
      <c r="D1193" t="s">
        <v>19</v>
      </c>
      <c r="E1193" t="s">
        <v>15</v>
      </c>
      <c r="F1193" t="s">
        <v>18</v>
      </c>
      <c r="G1193" t="s">
        <v>13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236</v>
      </c>
      <c r="B1194" s="1">
        <v>45686</v>
      </c>
      <c r="C1194" t="s">
        <v>2</v>
      </c>
      <c r="D1194" t="s">
        <v>21</v>
      </c>
      <c r="E1194" t="s">
        <v>15</v>
      </c>
      <c r="F1194" t="s">
        <v>22</v>
      </c>
      <c r="G1194" t="s">
        <v>29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235</v>
      </c>
      <c r="B1195" s="1">
        <v>45668</v>
      </c>
      <c r="C1195" t="s">
        <v>2</v>
      </c>
      <c r="D1195" t="s">
        <v>16</v>
      </c>
      <c r="E1195" t="s">
        <v>15</v>
      </c>
      <c r="F1195" t="s">
        <v>22</v>
      </c>
      <c r="G1195" t="s">
        <v>13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234</v>
      </c>
      <c r="B1196" s="1">
        <v>45755</v>
      </c>
      <c r="C1196" t="s">
        <v>2</v>
      </c>
      <c r="D1196" t="s">
        <v>20</v>
      </c>
      <c r="E1196" t="s">
        <v>25</v>
      </c>
      <c r="F1196" t="s">
        <v>14</v>
      </c>
      <c r="G1196" t="s">
        <v>29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233</v>
      </c>
      <c r="B1197" s="1">
        <v>45710</v>
      </c>
      <c r="C1197" t="s">
        <v>2</v>
      </c>
      <c r="D1197" t="s">
        <v>16</v>
      </c>
      <c r="E1197" t="s">
        <v>32</v>
      </c>
      <c r="F1197" t="s">
        <v>22</v>
      </c>
      <c r="G1197" t="s">
        <v>17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232</v>
      </c>
      <c r="B1198" s="1">
        <v>45739</v>
      </c>
      <c r="C1198" t="s">
        <v>2</v>
      </c>
      <c r="D1198" t="s">
        <v>19</v>
      </c>
      <c r="E1198" t="s">
        <v>15</v>
      </c>
      <c r="F1198" t="s">
        <v>18</v>
      </c>
      <c r="G1198" t="s">
        <v>17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231</v>
      </c>
      <c r="B1199" s="1">
        <v>45800</v>
      </c>
      <c r="C1199" t="s">
        <v>2</v>
      </c>
      <c r="D1199" t="s">
        <v>19</v>
      </c>
      <c r="E1199" t="s">
        <v>24</v>
      </c>
      <c r="F1199" t="s">
        <v>14</v>
      </c>
      <c r="G1199" t="s">
        <v>17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230</v>
      </c>
      <c r="B1200" s="1">
        <v>45774</v>
      </c>
      <c r="C1200" t="s">
        <v>2</v>
      </c>
      <c r="D1200" t="s">
        <v>21</v>
      </c>
      <c r="E1200" t="s">
        <v>15</v>
      </c>
      <c r="F1200" t="s">
        <v>27</v>
      </c>
      <c r="G1200" t="s">
        <v>13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229</v>
      </c>
      <c r="B1201" s="1">
        <v>45803</v>
      </c>
      <c r="C1201" t="s">
        <v>2</v>
      </c>
      <c r="D1201" t="s">
        <v>16</v>
      </c>
      <c r="E1201" t="s">
        <v>15</v>
      </c>
      <c r="F1201" t="s">
        <v>27</v>
      </c>
      <c r="G1201" t="s">
        <v>17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228</v>
      </c>
      <c r="B1202" s="1">
        <v>45722</v>
      </c>
      <c r="C1202" t="s">
        <v>2</v>
      </c>
      <c r="D1202" t="s">
        <v>20</v>
      </c>
      <c r="E1202" t="s">
        <v>15</v>
      </c>
      <c r="F1202" t="s">
        <v>14</v>
      </c>
      <c r="G1202" t="s">
        <v>13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227</v>
      </c>
      <c r="B1203" s="1">
        <v>45750</v>
      </c>
      <c r="C1203" t="s">
        <v>2</v>
      </c>
      <c r="D1203" t="s">
        <v>21</v>
      </c>
      <c r="E1203" t="s">
        <v>15</v>
      </c>
      <c r="F1203" t="s">
        <v>18</v>
      </c>
      <c r="G1203" t="s">
        <v>13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226</v>
      </c>
      <c r="B1204" s="1">
        <v>45689</v>
      </c>
      <c r="C1204" t="s">
        <v>2</v>
      </c>
      <c r="D1204" t="s">
        <v>20</v>
      </c>
      <c r="E1204" t="s">
        <v>25</v>
      </c>
      <c r="F1204" t="s">
        <v>14</v>
      </c>
      <c r="G1204" t="s">
        <v>17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225</v>
      </c>
      <c r="B1205" s="1">
        <v>45778</v>
      </c>
      <c r="C1205" t="s">
        <v>2</v>
      </c>
      <c r="D1205" t="s">
        <v>21</v>
      </c>
      <c r="E1205" t="s">
        <v>15</v>
      </c>
      <c r="F1205" t="s">
        <v>27</v>
      </c>
      <c r="G1205" t="s">
        <v>29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224</v>
      </c>
      <c r="B1206" s="1">
        <v>45760</v>
      </c>
      <c r="C1206" t="s">
        <v>2</v>
      </c>
      <c r="D1206" t="s">
        <v>16</v>
      </c>
      <c r="E1206" t="s">
        <v>15</v>
      </c>
      <c r="F1206" t="s">
        <v>22</v>
      </c>
      <c r="G1206" t="s">
        <v>29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223</v>
      </c>
      <c r="B1207" s="1">
        <v>45682</v>
      </c>
      <c r="C1207" t="s">
        <v>2</v>
      </c>
      <c r="D1207" t="s">
        <v>20</v>
      </c>
      <c r="E1207" t="s">
        <v>15</v>
      </c>
      <c r="F1207" t="s">
        <v>22</v>
      </c>
      <c r="G1207" t="s">
        <v>17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222</v>
      </c>
      <c r="B1208" s="1">
        <v>45733</v>
      </c>
      <c r="C1208" t="s">
        <v>2</v>
      </c>
      <c r="D1208" t="s">
        <v>16</v>
      </c>
      <c r="E1208" t="s">
        <v>15</v>
      </c>
      <c r="F1208" t="s">
        <v>18</v>
      </c>
      <c r="G1208" t="s">
        <v>17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221</v>
      </c>
      <c r="B1209" s="1">
        <v>45709</v>
      </c>
      <c r="C1209" t="s">
        <v>2</v>
      </c>
      <c r="D1209" t="s">
        <v>21</v>
      </c>
      <c r="E1209" t="s">
        <v>25</v>
      </c>
      <c r="F1209" t="s">
        <v>22</v>
      </c>
      <c r="G1209" t="s">
        <v>13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220</v>
      </c>
      <c r="B1210" s="1">
        <v>45755</v>
      </c>
      <c r="C1210" t="s">
        <v>2</v>
      </c>
      <c r="D1210" t="s">
        <v>20</v>
      </c>
      <c r="E1210" t="s">
        <v>24</v>
      </c>
      <c r="F1210" t="s">
        <v>18</v>
      </c>
      <c r="G1210" t="s">
        <v>13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219</v>
      </c>
      <c r="B1211" s="1">
        <v>45712</v>
      </c>
      <c r="C1211" t="s">
        <v>2</v>
      </c>
      <c r="D1211" t="s">
        <v>21</v>
      </c>
      <c r="E1211" t="s">
        <v>15</v>
      </c>
      <c r="F1211" t="s">
        <v>18</v>
      </c>
      <c r="G1211" t="s">
        <v>13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218</v>
      </c>
      <c r="B1212" s="1">
        <v>45806</v>
      </c>
      <c r="C1212" t="s">
        <v>2</v>
      </c>
      <c r="D1212" t="s">
        <v>19</v>
      </c>
      <c r="E1212" t="s">
        <v>15</v>
      </c>
      <c r="F1212" t="s">
        <v>18</v>
      </c>
      <c r="G1212" t="s">
        <v>17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217</v>
      </c>
      <c r="B1213" s="1">
        <v>45807</v>
      </c>
      <c r="C1213" t="s">
        <v>2</v>
      </c>
      <c r="D1213" t="s">
        <v>16</v>
      </c>
      <c r="E1213" t="s">
        <v>15</v>
      </c>
      <c r="F1213" t="s">
        <v>23</v>
      </c>
      <c r="G1213" t="s">
        <v>13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216</v>
      </c>
      <c r="B1214" s="1">
        <v>45681</v>
      </c>
      <c r="C1214" t="s">
        <v>2</v>
      </c>
      <c r="D1214" t="s">
        <v>16</v>
      </c>
      <c r="E1214" t="s">
        <v>25</v>
      </c>
      <c r="F1214" t="s">
        <v>18</v>
      </c>
      <c r="G1214" t="s">
        <v>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215</v>
      </c>
      <c r="B1215" s="1">
        <v>45789</v>
      </c>
      <c r="C1215" t="s">
        <v>2</v>
      </c>
      <c r="D1215" t="s">
        <v>19</v>
      </c>
      <c r="E1215" t="s">
        <v>15</v>
      </c>
      <c r="F1215" t="s">
        <v>18</v>
      </c>
      <c r="G1215" t="s">
        <v>13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214</v>
      </c>
      <c r="B1216" s="1">
        <v>45744</v>
      </c>
      <c r="C1216" t="s">
        <v>2</v>
      </c>
      <c r="D1216" t="s">
        <v>19</v>
      </c>
      <c r="E1216" t="s">
        <v>15</v>
      </c>
      <c r="F1216" t="s">
        <v>18</v>
      </c>
      <c r="G1216" t="s">
        <v>13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213</v>
      </c>
      <c r="B1217" s="1">
        <v>45761</v>
      </c>
      <c r="C1217" t="s">
        <v>2</v>
      </c>
      <c r="D1217" t="s">
        <v>16</v>
      </c>
      <c r="E1217" t="s">
        <v>15</v>
      </c>
      <c r="F1217" t="s">
        <v>27</v>
      </c>
      <c r="G1217" t="s">
        <v>13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212</v>
      </c>
      <c r="B1218" s="1">
        <v>45685</v>
      </c>
      <c r="C1218" t="s">
        <v>2</v>
      </c>
      <c r="D1218" t="s">
        <v>20</v>
      </c>
      <c r="E1218" t="s">
        <v>24</v>
      </c>
      <c r="F1218" t="s">
        <v>27</v>
      </c>
      <c r="G1218" t="s">
        <v>13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211</v>
      </c>
      <c r="B1219" s="1">
        <v>45798</v>
      </c>
      <c r="C1219" t="s">
        <v>2</v>
      </c>
      <c r="D1219" t="s">
        <v>16</v>
      </c>
      <c r="E1219" t="s">
        <v>15</v>
      </c>
      <c r="F1219" t="s">
        <v>18</v>
      </c>
      <c r="G1219" t="s">
        <v>13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210</v>
      </c>
      <c r="B1220" s="1">
        <v>45788</v>
      </c>
      <c r="C1220" t="s">
        <v>2</v>
      </c>
      <c r="D1220" t="s">
        <v>21</v>
      </c>
      <c r="E1220" t="s">
        <v>25</v>
      </c>
      <c r="F1220" t="s">
        <v>18</v>
      </c>
      <c r="G1220" t="s">
        <v>17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209</v>
      </c>
      <c r="B1221" s="1">
        <v>45690</v>
      </c>
      <c r="C1221" t="s">
        <v>2</v>
      </c>
      <c r="D1221" t="s">
        <v>19</v>
      </c>
      <c r="E1221" t="s">
        <v>15</v>
      </c>
      <c r="F1221" t="s">
        <v>14</v>
      </c>
      <c r="G1221" t="s">
        <v>17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208</v>
      </c>
      <c r="B1222" s="1">
        <v>45714</v>
      </c>
      <c r="C1222" t="s">
        <v>2</v>
      </c>
      <c r="D1222" t="s">
        <v>16</v>
      </c>
      <c r="E1222" t="s">
        <v>15</v>
      </c>
      <c r="F1222" t="s">
        <v>22</v>
      </c>
      <c r="G1222" t="s">
        <v>17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207</v>
      </c>
      <c r="B1223" s="1">
        <v>45715</v>
      </c>
      <c r="C1223" t="s">
        <v>2</v>
      </c>
      <c r="D1223" t="s">
        <v>19</v>
      </c>
      <c r="E1223" t="s">
        <v>25</v>
      </c>
      <c r="F1223" t="s">
        <v>27</v>
      </c>
      <c r="G1223" t="s">
        <v>17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206</v>
      </c>
      <c r="B1224" s="1">
        <v>45725</v>
      </c>
      <c r="C1224" t="s">
        <v>2</v>
      </c>
      <c r="D1224" t="s">
        <v>21</v>
      </c>
      <c r="E1224" t="s">
        <v>15</v>
      </c>
      <c r="F1224" t="s">
        <v>18</v>
      </c>
      <c r="G1224" t="s">
        <v>17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205</v>
      </c>
      <c r="B1225" s="1">
        <v>45695</v>
      </c>
      <c r="C1225" t="s">
        <v>2</v>
      </c>
      <c r="D1225" t="s">
        <v>16</v>
      </c>
      <c r="E1225" t="s">
        <v>15</v>
      </c>
      <c r="F1225" t="s">
        <v>14</v>
      </c>
      <c r="G1225" t="s">
        <v>13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204</v>
      </c>
      <c r="B1226" s="1">
        <v>45688</v>
      </c>
      <c r="C1226" t="s">
        <v>2</v>
      </c>
      <c r="D1226" t="s">
        <v>21</v>
      </c>
      <c r="E1226" t="s">
        <v>15</v>
      </c>
      <c r="F1226" t="s">
        <v>22</v>
      </c>
      <c r="G1226" t="s">
        <v>17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203</v>
      </c>
      <c r="B1227" s="1">
        <v>45702</v>
      </c>
      <c r="C1227" t="s">
        <v>2</v>
      </c>
      <c r="D1227" t="s">
        <v>16</v>
      </c>
      <c r="E1227" t="s">
        <v>24</v>
      </c>
      <c r="F1227" t="s">
        <v>14</v>
      </c>
      <c r="G1227" t="s">
        <v>13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202</v>
      </c>
      <c r="B1228" s="1">
        <v>45700</v>
      </c>
      <c r="C1228" t="s">
        <v>2</v>
      </c>
      <c r="D1228" t="s">
        <v>19</v>
      </c>
      <c r="E1228" t="s">
        <v>25</v>
      </c>
      <c r="F1228" t="s">
        <v>22</v>
      </c>
      <c r="G1228" t="s">
        <v>13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201</v>
      </c>
      <c r="B1229" s="1">
        <v>45739</v>
      </c>
      <c r="C1229" t="s">
        <v>2</v>
      </c>
      <c r="D1229" t="s">
        <v>20</v>
      </c>
      <c r="E1229" t="s">
        <v>32</v>
      </c>
      <c r="F1229" t="s">
        <v>14</v>
      </c>
      <c r="G1229" t="s">
        <v>17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200</v>
      </c>
      <c r="B1230" s="1">
        <v>45734</v>
      </c>
      <c r="C1230" t="s">
        <v>2</v>
      </c>
      <c r="D1230" t="s">
        <v>21</v>
      </c>
      <c r="E1230" t="s">
        <v>15</v>
      </c>
      <c r="F1230" t="s">
        <v>14</v>
      </c>
      <c r="G1230" t="s">
        <v>17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199</v>
      </c>
      <c r="B1231" s="1">
        <v>45794</v>
      </c>
      <c r="C1231" t="s">
        <v>2</v>
      </c>
      <c r="D1231" t="s">
        <v>16</v>
      </c>
      <c r="E1231" t="s">
        <v>15</v>
      </c>
      <c r="F1231" t="s">
        <v>22</v>
      </c>
      <c r="G1231" t="s">
        <v>17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198</v>
      </c>
      <c r="B1232" s="1">
        <v>45742</v>
      </c>
      <c r="C1232" t="s">
        <v>2</v>
      </c>
      <c r="D1232" t="s">
        <v>21</v>
      </c>
      <c r="E1232" t="s">
        <v>25</v>
      </c>
      <c r="F1232" t="s">
        <v>22</v>
      </c>
      <c r="G1232" t="s">
        <v>29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197</v>
      </c>
      <c r="B1233" s="1">
        <v>45746</v>
      </c>
      <c r="C1233" t="s">
        <v>2</v>
      </c>
      <c r="D1233" t="s">
        <v>20</v>
      </c>
      <c r="E1233" t="s">
        <v>15</v>
      </c>
      <c r="F1233" t="s">
        <v>18</v>
      </c>
      <c r="G1233" t="s">
        <v>17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196</v>
      </c>
      <c r="B1234" s="1">
        <v>45713</v>
      </c>
      <c r="C1234" t="s">
        <v>2</v>
      </c>
      <c r="D1234" t="s">
        <v>20</v>
      </c>
      <c r="E1234" t="s">
        <v>25</v>
      </c>
      <c r="F1234" t="s">
        <v>18</v>
      </c>
      <c r="G1234" t="s">
        <v>17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195</v>
      </c>
      <c r="B1235" s="1">
        <v>45717</v>
      </c>
      <c r="C1235" t="s">
        <v>2</v>
      </c>
      <c r="D1235" t="s">
        <v>20</v>
      </c>
      <c r="E1235" t="s">
        <v>25</v>
      </c>
      <c r="F1235" t="s">
        <v>22</v>
      </c>
      <c r="G1235" t="s">
        <v>17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194</v>
      </c>
      <c r="B1236" s="1">
        <v>45804</v>
      </c>
      <c r="C1236" t="s">
        <v>2</v>
      </c>
      <c r="D1236" t="s">
        <v>16</v>
      </c>
      <c r="E1236" t="s">
        <v>15</v>
      </c>
      <c r="F1236" t="s">
        <v>14</v>
      </c>
      <c r="G1236" t="s">
        <v>13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193</v>
      </c>
      <c r="B1237" s="1">
        <v>45693</v>
      </c>
      <c r="C1237" t="s">
        <v>2</v>
      </c>
      <c r="D1237" t="s">
        <v>21</v>
      </c>
      <c r="E1237" t="s">
        <v>15</v>
      </c>
      <c r="F1237" t="s">
        <v>32</v>
      </c>
      <c r="G1237" t="s">
        <v>29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192</v>
      </c>
      <c r="B1238" s="1">
        <v>45682</v>
      </c>
      <c r="C1238" t="s">
        <v>2</v>
      </c>
      <c r="D1238" t="s">
        <v>21</v>
      </c>
      <c r="E1238" t="s">
        <v>25</v>
      </c>
      <c r="F1238" t="s">
        <v>23</v>
      </c>
      <c r="G1238" t="s">
        <v>17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191</v>
      </c>
      <c r="B1239" s="1">
        <v>45757</v>
      </c>
      <c r="C1239" t="s">
        <v>2</v>
      </c>
      <c r="D1239" t="s">
        <v>20</v>
      </c>
      <c r="E1239" t="s">
        <v>15</v>
      </c>
      <c r="F1239" t="s">
        <v>18</v>
      </c>
      <c r="G1239" t="s">
        <v>29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190</v>
      </c>
      <c r="B1240" s="1">
        <v>45667</v>
      </c>
      <c r="C1240" t="s">
        <v>2</v>
      </c>
      <c r="D1240" t="s">
        <v>20</v>
      </c>
      <c r="E1240" t="s">
        <v>15</v>
      </c>
      <c r="F1240" t="s">
        <v>18</v>
      </c>
      <c r="G1240" t="s">
        <v>29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189</v>
      </c>
      <c r="B1241" s="1">
        <v>45711</v>
      </c>
      <c r="C1241" t="s">
        <v>2</v>
      </c>
      <c r="D1241" t="s">
        <v>20</v>
      </c>
      <c r="E1241" t="s">
        <v>15</v>
      </c>
      <c r="F1241" t="s">
        <v>32</v>
      </c>
      <c r="G1241" t="s">
        <v>17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188</v>
      </c>
      <c r="B1242" s="1">
        <v>45800</v>
      </c>
      <c r="C1242" t="s">
        <v>2</v>
      </c>
      <c r="D1242" t="s">
        <v>21</v>
      </c>
      <c r="E1242" t="s">
        <v>25</v>
      </c>
      <c r="F1242" t="s">
        <v>18</v>
      </c>
      <c r="G1242" t="s">
        <v>13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187</v>
      </c>
      <c r="B1243" s="1">
        <v>45724</v>
      </c>
      <c r="C1243" t="s">
        <v>2</v>
      </c>
      <c r="D1243" t="s">
        <v>16</v>
      </c>
      <c r="E1243" t="s">
        <v>24</v>
      </c>
      <c r="F1243" t="s">
        <v>23</v>
      </c>
      <c r="G1243" t="s">
        <v>13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186</v>
      </c>
      <c r="B1244" s="1">
        <v>45798</v>
      </c>
      <c r="C1244" t="s">
        <v>2</v>
      </c>
      <c r="D1244" t="s">
        <v>20</v>
      </c>
      <c r="E1244" t="s">
        <v>15</v>
      </c>
      <c r="F1244" t="s">
        <v>18</v>
      </c>
      <c r="G1244" t="s">
        <v>13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185</v>
      </c>
      <c r="B1245" s="1">
        <v>45769</v>
      </c>
      <c r="C1245" t="s">
        <v>2</v>
      </c>
      <c r="D1245" t="s">
        <v>16</v>
      </c>
      <c r="E1245" t="s">
        <v>15</v>
      </c>
      <c r="F1245" t="s">
        <v>23</v>
      </c>
      <c r="G1245" t="s">
        <v>13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184</v>
      </c>
      <c r="B1246" s="1">
        <v>45763</v>
      </c>
      <c r="C1246" t="s">
        <v>2</v>
      </c>
      <c r="D1246" t="s">
        <v>16</v>
      </c>
      <c r="E1246" t="s">
        <v>15</v>
      </c>
      <c r="F1246" t="s">
        <v>23</v>
      </c>
      <c r="G1246" t="s">
        <v>29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183</v>
      </c>
      <c r="B1247" s="1">
        <v>45785</v>
      </c>
      <c r="C1247" t="s">
        <v>2</v>
      </c>
      <c r="D1247" t="s">
        <v>16</v>
      </c>
      <c r="E1247" t="s">
        <v>24</v>
      </c>
      <c r="F1247" t="s">
        <v>18</v>
      </c>
      <c r="G1247" t="s">
        <v>17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182</v>
      </c>
      <c r="B1248" s="1">
        <v>45799</v>
      </c>
      <c r="C1248" t="s">
        <v>2</v>
      </c>
      <c r="D1248" t="s">
        <v>16</v>
      </c>
      <c r="E1248" t="s">
        <v>15</v>
      </c>
      <c r="F1248" t="s">
        <v>14</v>
      </c>
      <c r="G1248" t="s">
        <v>13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181</v>
      </c>
      <c r="B1249" s="1">
        <v>45737</v>
      </c>
      <c r="C1249" t="s">
        <v>2</v>
      </c>
      <c r="D1249" t="s">
        <v>16</v>
      </c>
      <c r="E1249" t="s">
        <v>15</v>
      </c>
      <c r="F1249" t="s">
        <v>27</v>
      </c>
      <c r="G1249" t="s">
        <v>13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180</v>
      </c>
      <c r="B1250" s="1">
        <v>45738</v>
      </c>
      <c r="C1250" t="s">
        <v>2</v>
      </c>
      <c r="D1250" t="s">
        <v>20</v>
      </c>
      <c r="E1250" t="s">
        <v>15</v>
      </c>
      <c r="F1250" t="s">
        <v>18</v>
      </c>
      <c r="G1250" t="s">
        <v>13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179</v>
      </c>
      <c r="B1251" s="1">
        <v>45667</v>
      </c>
      <c r="C1251" t="s">
        <v>2</v>
      </c>
      <c r="D1251" t="s">
        <v>21</v>
      </c>
      <c r="E1251" t="s">
        <v>25</v>
      </c>
      <c r="F1251" t="s">
        <v>22</v>
      </c>
      <c r="G1251" t="s">
        <v>17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178</v>
      </c>
      <c r="B1252" s="1">
        <v>45689</v>
      </c>
      <c r="C1252" t="s">
        <v>2</v>
      </c>
      <c r="D1252" t="s">
        <v>20</v>
      </c>
      <c r="E1252" t="s">
        <v>15</v>
      </c>
      <c r="F1252" t="s">
        <v>18</v>
      </c>
      <c r="G1252" t="s">
        <v>13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177</v>
      </c>
      <c r="B1253" s="1">
        <v>45747</v>
      </c>
      <c r="C1253" t="s">
        <v>2</v>
      </c>
      <c r="D1253" t="s">
        <v>19</v>
      </c>
      <c r="E1253" t="s">
        <v>15</v>
      </c>
      <c r="F1253" t="s">
        <v>14</v>
      </c>
      <c r="G1253" t="s">
        <v>13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176</v>
      </c>
      <c r="B1254" s="1">
        <v>45772</v>
      </c>
      <c r="C1254" t="s">
        <v>2</v>
      </c>
      <c r="D1254" t="s">
        <v>16</v>
      </c>
      <c r="E1254" t="s">
        <v>15</v>
      </c>
      <c r="F1254" t="s">
        <v>14</v>
      </c>
      <c r="G1254" t="s">
        <v>17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175</v>
      </c>
      <c r="B1255" s="1">
        <v>45779</v>
      </c>
      <c r="C1255" t="s">
        <v>2</v>
      </c>
      <c r="D1255" t="s">
        <v>21</v>
      </c>
      <c r="E1255" t="s">
        <v>15</v>
      </c>
      <c r="F1255" t="s">
        <v>22</v>
      </c>
      <c r="G1255" t="s">
        <v>13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174</v>
      </c>
      <c r="B1256" s="1">
        <v>45724</v>
      </c>
      <c r="C1256" t="s">
        <v>2</v>
      </c>
      <c r="D1256" t="s">
        <v>19</v>
      </c>
      <c r="E1256" t="s">
        <v>25</v>
      </c>
      <c r="F1256" t="s">
        <v>22</v>
      </c>
      <c r="G1256" t="s">
        <v>13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173</v>
      </c>
      <c r="B1257" s="1">
        <v>45684</v>
      </c>
      <c r="C1257" t="s">
        <v>2</v>
      </c>
      <c r="D1257" t="s">
        <v>20</v>
      </c>
      <c r="E1257" t="s">
        <v>25</v>
      </c>
      <c r="F1257" t="s">
        <v>32</v>
      </c>
      <c r="G1257" t="s">
        <v>17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172</v>
      </c>
      <c r="B1258" s="1">
        <v>45774</v>
      </c>
      <c r="C1258" t="s">
        <v>2</v>
      </c>
      <c r="D1258" t="s">
        <v>21</v>
      </c>
      <c r="E1258" t="s">
        <v>15</v>
      </c>
      <c r="F1258" t="s">
        <v>14</v>
      </c>
      <c r="G1258" t="s">
        <v>17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171</v>
      </c>
      <c r="B1259" s="1">
        <v>45673</v>
      </c>
      <c r="C1259" t="s">
        <v>2</v>
      </c>
      <c r="D1259" t="s">
        <v>21</v>
      </c>
      <c r="E1259" t="s">
        <v>25</v>
      </c>
      <c r="F1259" t="s">
        <v>14</v>
      </c>
      <c r="G1259" t="s">
        <v>13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170</v>
      </c>
      <c r="B1260" s="1">
        <v>45675</v>
      </c>
      <c r="C1260" t="s">
        <v>2</v>
      </c>
      <c r="D1260" t="s">
        <v>21</v>
      </c>
      <c r="E1260" t="s">
        <v>25</v>
      </c>
      <c r="F1260" t="s">
        <v>14</v>
      </c>
      <c r="G1260" t="s">
        <v>13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169</v>
      </c>
      <c r="B1261" s="1">
        <v>45737</v>
      </c>
      <c r="C1261" t="s">
        <v>2</v>
      </c>
      <c r="D1261" t="s">
        <v>16</v>
      </c>
      <c r="E1261" t="s">
        <v>15</v>
      </c>
      <c r="F1261" t="s">
        <v>18</v>
      </c>
      <c r="G1261" t="s">
        <v>17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168</v>
      </c>
      <c r="B1262" s="1">
        <v>45749</v>
      </c>
      <c r="C1262" t="s">
        <v>2</v>
      </c>
      <c r="D1262" t="s">
        <v>16</v>
      </c>
      <c r="E1262" t="s">
        <v>25</v>
      </c>
      <c r="F1262" t="s">
        <v>14</v>
      </c>
      <c r="G1262" t="s">
        <v>17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167</v>
      </c>
      <c r="B1263" s="1">
        <v>45704</v>
      </c>
      <c r="C1263" t="s">
        <v>2</v>
      </c>
      <c r="D1263" t="s">
        <v>21</v>
      </c>
      <c r="E1263" t="s">
        <v>25</v>
      </c>
      <c r="F1263" t="s">
        <v>18</v>
      </c>
      <c r="G1263" t="s">
        <v>17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166</v>
      </c>
      <c r="B1264" s="1">
        <v>45706</v>
      </c>
      <c r="C1264" t="s">
        <v>2</v>
      </c>
      <c r="D1264" t="s">
        <v>16</v>
      </c>
      <c r="E1264" t="s">
        <v>15</v>
      </c>
      <c r="F1264" t="s">
        <v>22</v>
      </c>
      <c r="G1264" t="s">
        <v>17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165</v>
      </c>
      <c r="B1265" s="1">
        <v>45666</v>
      </c>
      <c r="C1265" t="s">
        <v>2</v>
      </c>
      <c r="D1265" t="s">
        <v>20</v>
      </c>
      <c r="E1265" t="s">
        <v>15</v>
      </c>
      <c r="F1265" t="s">
        <v>18</v>
      </c>
      <c r="G1265" t="s">
        <v>17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164</v>
      </c>
      <c r="B1266" s="1">
        <v>45706</v>
      </c>
      <c r="C1266" t="s">
        <v>2</v>
      </c>
      <c r="D1266" t="s">
        <v>16</v>
      </c>
      <c r="E1266" t="s">
        <v>25</v>
      </c>
      <c r="F1266" t="s">
        <v>14</v>
      </c>
      <c r="G1266" t="s">
        <v>17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163</v>
      </c>
      <c r="B1267" s="1">
        <v>45667</v>
      </c>
      <c r="C1267" t="s">
        <v>2</v>
      </c>
      <c r="D1267" t="s">
        <v>20</v>
      </c>
      <c r="E1267" t="s">
        <v>15</v>
      </c>
      <c r="F1267" t="s">
        <v>27</v>
      </c>
      <c r="G1267" t="s">
        <v>17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162</v>
      </c>
      <c r="B1268" s="1">
        <v>45724</v>
      </c>
      <c r="C1268" t="s">
        <v>2</v>
      </c>
      <c r="D1268" t="s">
        <v>21</v>
      </c>
      <c r="E1268" t="s">
        <v>15</v>
      </c>
      <c r="F1268" t="s">
        <v>23</v>
      </c>
      <c r="G1268" t="s">
        <v>17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161</v>
      </c>
      <c r="B1269" s="1">
        <v>45763</v>
      </c>
      <c r="C1269" t="s">
        <v>2</v>
      </c>
      <c r="D1269" t="s">
        <v>20</v>
      </c>
      <c r="E1269" t="s">
        <v>25</v>
      </c>
      <c r="F1269" t="s">
        <v>14</v>
      </c>
      <c r="G1269" t="s">
        <v>13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160</v>
      </c>
      <c r="B1270" s="1">
        <v>45707</v>
      </c>
      <c r="C1270" t="s">
        <v>2</v>
      </c>
      <c r="D1270" t="s">
        <v>21</v>
      </c>
      <c r="E1270" t="s">
        <v>25</v>
      </c>
      <c r="F1270" t="s">
        <v>14</v>
      </c>
      <c r="G1270" t="s">
        <v>29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159</v>
      </c>
      <c r="B1271" s="1">
        <v>45732</v>
      </c>
      <c r="C1271" t="s">
        <v>2</v>
      </c>
      <c r="D1271" t="s">
        <v>20</v>
      </c>
      <c r="E1271" t="s">
        <v>25</v>
      </c>
      <c r="F1271" t="s">
        <v>22</v>
      </c>
      <c r="G1271" t="s">
        <v>17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158</v>
      </c>
      <c r="B1272" s="1">
        <v>45691</v>
      </c>
      <c r="C1272" t="s">
        <v>2</v>
      </c>
      <c r="D1272" t="s">
        <v>21</v>
      </c>
      <c r="E1272" t="s">
        <v>32</v>
      </c>
      <c r="F1272" t="s">
        <v>27</v>
      </c>
      <c r="G1272" t="s">
        <v>13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157</v>
      </c>
      <c r="B1273" s="1">
        <v>45728</v>
      </c>
      <c r="C1273" t="s">
        <v>2</v>
      </c>
      <c r="D1273" t="s">
        <v>21</v>
      </c>
      <c r="E1273" t="s">
        <v>15</v>
      </c>
      <c r="F1273" t="s">
        <v>14</v>
      </c>
      <c r="G1273" t="s">
        <v>13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156</v>
      </c>
      <c r="B1274" s="1">
        <v>45786</v>
      </c>
      <c r="C1274" t="s">
        <v>2</v>
      </c>
      <c r="D1274" t="s">
        <v>21</v>
      </c>
      <c r="E1274" t="s">
        <v>15</v>
      </c>
      <c r="F1274" t="s">
        <v>22</v>
      </c>
      <c r="G1274" t="s">
        <v>17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155</v>
      </c>
      <c r="B1275" s="1">
        <v>45676</v>
      </c>
      <c r="C1275" t="s">
        <v>2</v>
      </c>
      <c r="D1275" t="s">
        <v>19</v>
      </c>
      <c r="E1275" t="s">
        <v>25</v>
      </c>
      <c r="F1275" t="s">
        <v>22</v>
      </c>
      <c r="G1275" t="s">
        <v>29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154</v>
      </c>
      <c r="B1276" s="1">
        <v>45681</v>
      </c>
      <c r="C1276" t="s">
        <v>2</v>
      </c>
      <c r="D1276" t="s">
        <v>21</v>
      </c>
      <c r="E1276" t="s">
        <v>15</v>
      </c>
      <c r="F1276" t="s">
        <v>27</v>
      </c>
      <c r="G1276" t="s">
        <v>17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153</v>
      </c>
      <c r="B1277" s="1">
        <v>45719</v>
      </c>
      <c r="C1277" t="s">
        <v>2</v>
      </c>
      <c r="D1277" t="s">
        <v>20</v>
      </c>
      <c r="E1277" t="s">
        <v>15</v>
      </c>
      <c r="F1277" t="s">
        <v>27</v>
      </c>
      <c r="G1277" t="s">
        <v>17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152</v>
      </c>
      <c r="B1278" s="1">
        <v>45804</v>
      </c>
      <c r="C1278" t="s">
        <v>2</v>
      </c>
      <c r="D1278" t="s">
        <v>16</v>
      </c>
      <c r="E1278" t="s">
        <v>25</v>
      </c>
      <c r="F1278" t="s">
        <v>27</v>
      </c>
      <c r="G1278" t="s">
        <v>17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151</v>
      </c>
      <c r="B1279" s="1">
        <v>45770</v>
      </c>
      <c r="C1279" t="s">
        <v>2</v>
      </c>
      <c r="D1279" t="s">
        <v>21</v>
      </c>
      <c r="E1279" t="s">
        <v>25</v>
      </c>
      <c r="F1279" t="s">
        <v>18</v>
      </c>
      <c r="G1279" t="s">
        <v>13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150</v>
      </c>
      <c r="B1280" s="1">
        <v>45698</v>
      </c>
      <c r="C1280" t="s">
        <v>2</v>
      </c>
      <c r="D1280" t="s">
        <v>20</v>
      </c>
      <c r="E1280" t="s">
        <v>25</v>
      </c>
      <c r="F1280" t="s">
        <v>22</v>
      </c>
      <c r="G1280" t="s">
        <v>17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149</v>
      </c>
      <c r="B1281" s="1">
        <v>45699</v>
      </c>
      <c r="C1281" t="s">
        <v>2</v>
      </c>
      <c r="D1281" t="s">
        <v>16</v>
      </c>
      <c r="E1281" t="s">
        <v>15</v>
      </c>
      <c r="F1281" t="s">
        <v>18</v>
      </c>
      <c r="G1281" t="s">
        <v>17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148</v>
      </c>
      <c r="B1282" s="1">
        <v>45678</v>
      </c>
      <c r="C1282" t="s">
        <v>2</v>
      </c>
      <c r="D1282" t="s">
        <v>20</v>
      </c>
      <c r="E1282" t="s">
        <v>25</v>
      </c>
      <c r="F1282" t="s">
        <v>14</v>
      </c>
      <c r="G1282" t="s">
        <v>17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147</v>
      </c>
      <c r="B1283" s="1">
        <v>45690</v>
      </c>
      <c r="C1283" t="s">
        <v>2</v>
      </c>
      <c r="D1283" t="s">
        <v>21</v>
      </c>
      <c r="E1283" t="s">
        <v>25</v>
      </c>
      <c r="F1283" t="s">
        <v>22</v>
      </c>
      <c r="G1283" t="s">
        <v>17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146</v>
      </c>
      <c r="B1284" s="1">
        <v>45690</v>
      </c>
      <c r="C1284" t="s">
        <v>2</v>
      </c>
      <c r="D1284" t="s">
        <v>21</v>
      </c>
      <c r="E1284" t="s">
        <v>15</v>
      </c>
      <c r="F1284" t="s">
        <v>18</v>
      </c>
      <c r="G1284" t="s">
        <v>17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145</v>
      </c>
      <c r="B1285" s="1">
        <v>45714</v>
      </c>
      <c r="C1285" t="s">
        <v>2</v>
      </c>
      <c r="D1285" t="s">
        <v>21</v>
      </c>
      <c r="E1285" t="s">
        <v>24</v>
      </c>
      <c r="F1285" t="s">
        <v>22</v>
      </c>
      <c r="G1285" t="s">
        <v>17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144</v>
      </c>
      <c r="B1286" s="1">
        <v>45769</v>
      </c>
      <c r="C1286" t="s">
        <v>2</v>
      </c>
      <c r="D1286" t="s">
        <v>16</v>
      </c>
      <c r="E1286" t="s">
        <v>15</v>
      </c>
      <c r="F1286" t="s">
        <v>22</v>
      </c>
      <c r="G1286" t="s">
        <v>29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143</v>
      </c>
      <c r="B1287" s="1">
        <v>45727</v>
      </c>
      <c r="C1287" t="s">
        <v>2</v>
      </c>
      <c r="D1287" t="s">
        <v>16</v>
      </c>
      <c r="E1287" t="s">
        <v>25</v>
      </c>
      <c r="F1287" t="s">
        <v>18</v>
      </c>
      <c r="G1287" t="s">
        <v>13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142</v>
      </c>
      <c r="B1288" s="1">
        <v>45785</v>
      </c>
      <c r="C1288" t="s">
        <v>2</v>
      </c>
      <c r="D1288" t="s">
        <v>19</v>
      </c>
      <c r="E1288" t="s">
        <v>15</v>
      </c>
      <c r="F1288" t="s">
        <v>18</v>
      </c>
      <c r="G1288" t="s">
        <v>29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141</v>
      </c>
      <c r="B1289" s="1">
        <v>45726</v>
      </c>
      <c r="C1289" t="s">
        <v>2</v>
      </c>
      <c r="D1289" t="s">
        <v>20</v>
      </c>
      <c r="E1289" t="s">
        <v>25</v>
      </c>
      <c r="F1289" t="s">
        <v>18</v>
      </c>
      <c r="G1289" t="s">
        <v>17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140</v>
      </c>
      <c r="B1290" s="1">
        <v>45763</v>
      </c>
      <c r="C1290" t="s">
        <v>2</v>
      </c>
      <c r="D1290" t="s">
        <v>20</v>
      </c>
      <c r="E1290" t="s">
        <v>25</v>
      </c>
      <c r="F1290" t="s">
        <v>14</v>
      </c>
      <c r="G1290" t="s">
        <v>17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139</v>
      </c>
      <c r="B1291" s="1">
        <v>45717</v>
      </c>
      <c r="C1291" t="s">
        <v>2</v>
      </c>
      <c r="D1291" t="s">
        <v>21</v>
      </c>
      <c r="E1291" t="s">
        <v>24</v>
      </c>
      <c r="F1291" t="s">
        <v>18</v>
      </c>
      <c r="G1291" t="s">
        <v>13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138</v>
      </c>
      <c r="B1292" s="1">
        <v>45675</v>
      </c>
      <c r="C1292" t="s">
        <v>2</v>
      </c>
      <c r="D1292" t="s">
        <v>19</v>
      </c>
      <c r="E1292" t="s">
        <v>25</v>
      </c>
      <c r="F1292" t="s">
        <v>18</v>
      </c>
      <c r="G1292" t="s">
        <v>29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137</v>
      </c>
      <c r="B1293" s="1">
        <v>45746</v>
      </c>
      <c r="C1293" t="s">
        <v>2</v>
      </c>
      <c r="D1293" t="s">
        <v>16</v>
      </c>
      <c r="E1293" t="s">
        <v>15</v>
      </c>
      <c r="F1293" t="s">
        <v>14</v>
      </c>
      <c r="G1293" t="s">
        <v>17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136</v>
      </c>
      <c r="B1294" s="1">
        <v>45803</v>
      </c>
      <c r="C1294" t="s">
        <v>2</v>
      </c>
      <c r="D1294" t="s">
        <v>21</v>
      </c>
      <c r="E1294" t="s">
        <v>15</v>
      </c>
      <c r="F1294" t="s">
        <v>22</v>
      </c>
      <c r="G1294" t="s">
        <v>29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135</v>
      </c>
      <c r="B1295" s="1">
        <v>45735</v>
      </c>
      <c r="C1295" t="s">
        <v>2</v>
      </c>
      <c r="D1295" t="s">
        <v>20</v>
      </c>
      <c r="E1295" t="s">
        <v>25</v>
      </c>
      <c r="F1295" t="s">
        <v>22</v>
      </c>
      <c r="G1295" t="s">
        <v>17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134</v>
      </c>
      <c r="B1296" s="1">
        <v>45744</v>
      </c>
      <c r="C1296" t="s">
        <v>2</v>
      </c>
      <c r="D1296" t="s">
        <v>16</v>
      </c>
      <c r="E1296" t="s">
        <v>25</v>
      </c>
      <c r="F1296" t="s">
        <v>27</v>
      </c>
      <c r="G1296" t="s">
        <v>17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133</v>
      </c>
      <c r="B1297" s="1">
        <v>45805</v>
      </c>
      <c r="C1297" t="s">
        <v>2</v>
      </c>
      <c r="D1297" t="s">
        <v>19</v>
      </c>
      <c r="E1297" t="s">
        <v>25</v>
      </c>
      <c r="F1297" t="s">
        <v>22</v>
      </c>
      <c r="G1297" t="s">
        <v>17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</v>
      </c>
      <c r="B1298" s="1">
        <v>45808</v>
      </c>
      <c r="C1298" t="s">
        <v>2</v>
      </c>
      <c r="D1298" t="s">
        <v>19</v>
      </c>
      <c r="E1298" t="s">
        <v>25</v>
      </c>
      <c r="F1298" t="s">
        <v>27</v>
      </c>
      <c r="G1298" t="s">
        <v>29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131</v>
      </c>
      <c r="B1299" s="1">
        <v>45787</v>
      </c>
      <c r="C1299" t="s">
        <v>2</v>
      </c>
      <c r="D1299" t="s">
        <v>16</v>
      </c>
      <c r="E1299" t="s">
        <v>15</v>
      </c>
      <c r="F1299" t="s">
        <v>27</v>
      </c>
      <c r="G1299" t="s">
        <v>17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130</v>
      </c>
      <c r="B1300" s="1">
        <v>45794</v>
      </c>
      <c r="C1300" t="s">
        <v>2</v>
      </c>
      <c r="D1300" t="s">
        <v>21</v>
      </c>
      <c r="E1300" t="s">
        <v>15</v>
      </c>
      <c r="F1300" t="s">
        <v>18</v>
      </c>
      <c r="G1300" t="s">
        <v>17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58.235294117647001</v>
      </c>
    </row>
    <row r="1301" spans="1:16">
      <c r="A1301" t="s">
        <v>129</v>
      </c>
      <c r="B1301" s="1">
        <v>45675</v>
      </c>
      <c r="C1301" t="s">
        <v>2</v>
      </c>
      <c r="D1301" t="s">
        <v>19</v>
      </c>
      <c r="E1301" t="s">
        <v>15</v>
      </c>
      <c r="F1301" t="s">
        <v>18</v>
      </c>
      <c r="G1301" t="s">
        <v>29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128</v>
      </c>
      <c r="B1302" s="1">
        <v>45781</v>
      </c>
      <c r="C1302" t="s">
        <v>2</v>
      </c>
      <c r="D1302" t="s">
        <v>21</v>
      </c>
      <c r="E1302" t="s">
        <v>15</v>
      </c>
      <c r="F1302" t="s">
        <v>22</v>
      </c>
      <c r="G1302" t="s">
        <v>17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127</v>
      </c>
      <c r="B1303" s="1">
        <v>45741</v>
      </c>
      <c r="C1303" t="s">
        <v>2</v>
      </c>
      <c r="D1303" t="s">
        <v>16</v>
      </c>
      <c r="E1303" t="s">
        <v>15</v>
      </c>
      <c r="F1303" t="s">
        <v>18</v>
      </c>
      <c r="G1303" t="s">
        <v>17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126</v>
      </c>
      <c r="B1304" s="1">
        <v>45715</v>
      </c>
      <c r="C1304" t="s">
        <v>2</v>
      </c>
      <c r="D1304" t="s">
        <v>16</v>
      </c>
      <c r="E1304" t="s">
        <v>15</v>
      </c>
      <c r="F1304" t="s">
        <v>22</v>
      </c>
      <c r="G1304" t="s">
        <v>13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125</v>
      </c>
      <c r="B1305" s="1">
        <v>45671</v>
      </c>
      <c r="C1305" t="s">
        <v>2</v>
      </c>
      <c r="D1305" t="s">
        <v>21</v>
      </c>
      <c r="E1305" t="s">
        <v>15</v>
      </c>
      <c r="F1305" t="s">
        <v>14</v>
      </c>
      <c r="G1305" t="s">
        <v>13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124</v>
      </c>
      <c r="B1306" s="1">
        <v>45758</v>
      </c>
      <c r="C1306" t="s">
        <v>2</v>
      </c>
      <c r="D1306" t="s">
        <v>20</v>
      </c>
      <c r="E1306" t="s">
        <v>15</v>
      </c>
      <c r="F1306" t="s">
        <v>22</v>
      </c>
      <c r="G1306" t="s">
        <v>17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123</v>
      </c>
      <c r="B1307" s="1">
        <v>45742</v>
      </c>
      <c r="C1307" t="s">
        <v>2</v>
      </c>
      <c r="D1307" t="s">
        <v>20</v>
      </c>
      <c r="E1307" t="s">
        <v>25</v>
      </c>
      <c r="F1307" t="s">
        <v>22</v>
      </c>
      <c r="G1307" t="s">
        <v>13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122</v>
      </c>
      <c r="B1308" s="1">
        <v>45700</v>
      </c>
      <c r="C1308" t="s">
        <v>2</v>
      </c>
      <c r="D1308" t="s">
        <v>21</v>
      </c>
      <c r="E1308" t="s">
        <v>25</v>
      </c>
      <c r="F1308" t="s">
        <v>22</v>
      </c>
      <c r="G1308" t="s">
        <v>17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121</v>
      </c>
      <c r="B1309" s="1">
        <v>45706</v>
      </c>
      <c r="C1309" t="s">
        <v>2</v>
      </c>
      <c r="D1309" t="s">
        <v>21</v>
      </c>
      <c r="E1309" t="s">
        <v>24</v>
      </c>
      <c r="F1309" t="s">
        <v>14</v>
      </c>
      <c r="G1309" t="s">
        <v>13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120</v>
      </c>
      <c r="B1310" s="1">
        <v>45802</v>
      </c>
      <c r="C1310" t="s">
        <v>2</v>
      </c>
      <c r="D1310" t="s">
        <v>20</v>
      </c>
      <c r="E1310" t="s">
        <v>25</v>
      </c>
      <c r="F1310" t="s">
        <v>22</v>
      </c>
      <c r="G1310" t="s">
        <v>17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119</v>
      </c>
      <c r="B1311" s="1">
        <v>45800</v>
      </c>
      <c r="C1311" t="s">
        <v>2</v>
      </c>
      <c r="D1311" t="s">
        <v>20</v>
      </c>
      <c r="E1311" t="s">
        <v>25</v>
      </c>
      <c r="F1311" t="s">
        <v>14</v>
      </c>
      <c r="G1311" t="s">
        <v>13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118</v>
      </c>
      <c r="B1312" s="1">
        <v>45673</v>
      </c>
      <c r="C1312" t="s">
        <v>2</v>
      </c>
      <c r="D1312" t="s">
        <v>16</v>
      </c>
      <c r="E1312" t="s">
        <v>25</v>
      </c>
      <c r="F1312" t="s">
        <v>18</v>
      </c>
      <c r="G1312" t="s">
        <v>17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117</v>
      </c>
      <c r="B1313" s="1">
        <v>45676</v>
      </c>
      <c r="C1313" t="s">
        <v>2</v>
      </c>
      <c r="D1313" t="s">
        <v>21</v>
      </c>
      <c r="E1313" t="s">
        <v>25</v>
      </c>
      <c r="F1313" t="s">
        <v>23</v>
      </c>
      <c r="G1313" t="s">
        <v>13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116</v>
      </c>
      <c r="B1314" s="1">
        <v>45795</v>
      </c>
      <c r="C1314" t="s">
        <v>2</v>
      </c>
      <c r="D1314" t="s">
        <v>19</v>
      </c>
      <c r="E1314" t="s">
        <v>15</v>
      </c>
      <c r="F1314" t="s">
        <v>27</v>
      </c>
      <c r="G1314" t="s">
        <v>17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115</v>
      </c>
      <c r="B1315" s="1">
        <v>45680</v>
      </c>
      <c r="C1315" t="s">
        <v>2</v>
      </c>
      <c r="D1315" t="s">
        <v>20</v>
      </c>
      <c r="E1315" t="s">
        <v>24</v>
      </c>
      <c r="F1315" t="s">
        <v>22</v>
      </c>
      <c r="G1315" t="s">
        <v>29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114</v>
      </c>
      <c r="B1316" s="1">
        <v>45665</v>
      </c>
      <c r="C1316" t="s">
        <v>2</v>
      </c>
      <c r="D1316" t="s">
        <v>20</v>
      </c>
      <c r="E1316" t="s">
        <v>24</v>
      </c>
      <c r="F1316" t="s">
        <v>32</v>
      </c>
      <c r="G1316" t="s">
        <v>29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113</v>
      </c>
      <c r="B1317" s="1">
        <v>45707</v>
      </c>
      <c r="C1317" t="s">
        <v>2</v>
      </c>
      <c r="D1317" t="s">
        <v>16</v>
      </c>
      <c r="E1317" t="s">
        <v>15</v>
      </c>
      <c r="F1317" t="s">
        <v>18</v>
      </c>
      <c r="G1317" t="s">
        <v>29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58.235294117647001</v>
      </c>
    </row>
    <row r="1318" spans="1:16">
      <c r="A1318" t="s">
        <v>112</v>
      </c>
      <c r="B1318" s="1">
        <v>45698</v>
      </c>
      <c r="C1318" t="s">
        <v>2</v>
      </c>
      <c r="D1318" t="s">
        <v>19</v>
      </c>
      <c r="E1318" t="s">
        <v>15</v>
      </c>
      <c r="F1318" t="s">
        <v>18</v>
      </c>
      <c r="G1318" t="s">
        <v>17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111</v>
      </c>
      <c r="B1319" s="1">
        <v>45760</v>
      </c>
      <c r="C1319" t="s">
        <v>2</v>
      </c>
      <c r="D1319" t="s">
        <v>19</v>
      </c>
      <c r="E1319" t="s">
        <v>15</v>
      </c>
      <c r="F1319" t="s">
        <v>14</v>
      </c>
      <c r="G1319" t="s">
        <v>17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110</v>
      </c>
      <c r="B1320" s="1">
        <v>45797</v>
      </c>
      <c r="C1320" t="s">
        <v>2</v>
      </c>
      <c r="D1320" t="s">
        <v>20</v>
      </c>
      <c r="E1320" t="s">
        <v>15</v>
      </c>
      <c r="F1320" t="s">
        <v>18</v>
      </c>
      <c r="G1320" t="s">
        <v>17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109</v>
      </c>
      <c r="B1321" s="1">
        <v>45790</v>
      </c>
      <c r="C1321" t="s">
        <v>2</v>
      </c>
      <c r="D1321" t="s">
        <v>19</v>
      </c>
      <c r="E1321" t="s">
        <v>15</v>
      </c>
      <c r="F1321" t="s">
        <v>14</v>
      </c>
      <c r="G1321" t="s">
        <v>13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108</v>
      </c>
      <c r="B1322" s="1">
        <v>45805</v>
      </c>
      <c r="C1322" t="s">
        <v>2</v>
      </c>
      <c r="D1322" t="s">
        <v>19</v>
      </c>
      <c r="E1322" t="s">
        <v>25</v>
      </c>
      <c r="F1322" t="s">
        <v>14</v>
      </c>
      <c r="G1322" t="s">
        <v>13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107</v>
      </c>
      <c r="B1323" s="1">
        <v>45735</v>
      </c>
      <c r="C1323" t="s">
        <v>2</v>
      </c>
      <c r="D1323" t="s">
        <v>21</v>
      </c>
      <c r="E1323" t="s">
        <v>15</v>
      </c>
      <c r="F1323" t="s">
        <v>18</v>
      </c>
      <c r="G1323" t="s">
        <v>17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106</v>
      </c>
      <c r="B1324" s="1">
        <v>45691</v>
      </c>
      <c r="C1324" t="s">
        <v>2</v>
      </c>
      <c r="D1324" t="s">
        <v>16</v>
      </c>
      <c r="E1324" t="s">
        <v>15</v>
      </c>
      <c r="F1324" t="s">
        <v>23</v>
      </c>
      <c r="G1324" t="s">
        <v>29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105</v>
      </c>
      <c r="B1325" s="1">
        <v>45714</v>
      </c>
      <c r="C1325" t="s">
        <v>2</v>
      </c>
      <c r="D1325" t="s">
        <v>19</v>
      </c>
      <c r="E1325" t="s">
        <v>15</v>
      </c>
      <c r="F1325" t="s">
        <v>23</v>
      </c>
      <c r="G1325" t="s">
        <v>13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104</v>
      </c>
      <c r="B1326" s="1">
        <v>45683</v>
      </c>
      <c r="C1326" t="s">
        <v>2</v>
      </c>
      <c r="D1326" t="s">
        <v>21</v>
      </c>
      <c r="E1326" t="s">
        <v>15</v>
      </c>
      <c r="F1326" t="s">
        <v>14</v>
      </c>
      <c r="G1326" t="s">
        <v>17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103</v>
      </c>
      <c r="B1327" s="1">
        <v>45790</v>
      </c>
      <c r="C1327" t="s">
        <v>2</v>
      </c>
      <c r="D1327" t="s">
        <v>16</v>
      </c>
      <c r="E1327" t="s">
        <v>15</v>
      </c>
      <c r="F1327" t="s">
        <v>18</v>
      </c>
      <c r="G1327" t="s">
        <v>29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102</v>
      </c>
      <c r="B1328" s="1">
        <v>45690</v>
      </c>
      <c r="C1328" t="s">
        <v>2</v>
      </c>
      <c r="D1328" t="s">
        <v>19</v>
      </c>
      <c r="E1328" t="s">
        <v>15</v>
      </c>
      <c r="F1328" t="s">
        <v>14</v>
      </c>
      <c r="G1328" t="s">
        <v>13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101</v>
      </c>
      <c r="B1329" s="1">
        <v>45777</v>
      </c>
      <c r="C1329" t="s">
        <v>2</v>
      </c>
      <c r="D1329" t="s">
        <v>21</v>
      </c>
      <c r="E1329" t="s">
        <v>15</v>
      </c>
      <c r="F1329" t="s">
        <v>32</v>
      </c>
      <c r="G1329" t="s">
        <v>13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100</v>
      </c>
      <c r="B1330" s="1">
        <v>45745</v>
      </c>
      <c r="C1330" t="s">
        <v>2</v>
      </c>
      <c r="D1330" t="s">
        <v>20</v>
      </c>
      <c r="E1330" t="s">
        <v>15</v>
      </c>
      <c r="F1330" t="s">
        <v>18</v>
      </c>
      <c r="G1330" t="s">
        <v>17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99</v>
      </c>
      <c r="B1331" s="1">
        <v>45756</v>
      </c>
      <c r="C1331" t="s">
        <v>2</v>
      </c>
      <c r="D1331" t="s">
        <v>21</v>
      </c>
      <c r="E1331" t="s">
        <v>25</v>
      </c>
      <c r="F1331" t="s">
        <v>27</v>
      </c>
      <c r="G1331" t="s">
        <v>29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98</v>
      </c>
      <c r="B1332" s="1">
        <v>45679</v>
      </c>
      <c r="C1332" t="s">
        <v>2</v>
      </c>
      <c r="D1332" t="s">
        <v>19</v>
      </c>
      <c r="E1332" t="s">
        <v>24</v>
      </c>
      <c r="F1332" t="s">
        <v>18</v>
      </c>
      <c r="G1332" t="s">
        <v>17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97</v>
      </c>
      <c r="B1333" s="1">
        <v>45684</v>
      </c>
      <c r="C1333" t="s">
        <v>2</v>
      </c>
      <c r="D1333" t="s">
        <v>19</v>
      </c>
      <c r="E1333" t="s">
        <v>15</v>
      </c>
      <c r="F1333" t="s">
        <v>18</v>
      </c>
      <c r="G1333" t="s">
        <v>13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96</v>
      </c>
      <c r="B1334" s="1">
        <v>45679</v>
      </c>
      <c r="C1334" t="s">
        <v>2</v>
      </c>
      <c r="D1334" t="s">
        <v>20</v>
      </c>
      <c r="E1334" t="s">
        <v>15</v>
      </c>
      <c r="F1334" t="s">
        <v>22</v>
      </c>
      <c r="G1334" t="s">
        <v>29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95</v>
      </c>
      <c r="B1335" s="1">
        <v>45663</v>
      </c>
      <c r="C1335" t="s">
        <v>2</v>
      </c>
      <c r="D1335" t="s">
        <v>21</v>
      </c>
      <c r="E1335" t="s">
        <v>25</v>
      </c>
      <c r="F1335" t="s">
        <v>14</v>
      </c>
      <c r="G1335" t="s">
        <v>17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94</v>
      </c>
      <c r="B1336" s="1">
        <v>45763</v>
      </c>
      <c r="C1336" t="s">
        <v>2</v>
      </c>
      <c r="D1336" t="s">
        <v>19</v>
      </c>
      <c r="E1336" t="s">
        <v>32</v>
      </c>
      <c r="F1336" t="s">
        <v>18</v>
      </c>
      <c r="G1336" t="s">
        <v>17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93</v>
      </c>
      <c r="B1337" s="1">
        <v>45761</v>
      </c>
      <c r="C1337" t="s">
        <v>2</v>
      </c>
      <c r="D1337" t="s">
        <v>19</v>
      </c>
      <c r="E1337" t="s">
        <v>15</v>
      </c>
      <c r="F1337" t="s">
        <v>18</v>
      </c>
      <c r="G1337" t="s">
        <v>17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92</v>
      </c>
      <c r="B1338" s="1">
        <v>45710</v>
      </c>
      <c r="C1338" t="s">
        <v>2</v>
      </c>
      <c r="D1338" t="s">
        <v>21</v>
      </c>
      <c r="E1338" t="s">
        <v>15</v>
      </c>
      <c r="F1338" t="s">
        <v>14</v>
      </c>
      <c r="G1338" t="s">
        <v>13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91</v>
      </c>
      <c r="B1339" s="1">
        <v>45725</v>
      </c>
      <c r="C1339" t="s">
        <v>2</v>
      </c>
      <c r="D1339" t="s">
        <v>16</v>
      </c>
      <c r="E1339" t="s">
        <v>15</v>
      </c>
      <c r="F1339" t="s">
        <v>18</v>
      </c>
      <c r="G1339" t="s">
        <v>13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90</v>
      </c>
      <c r="B1340" s="1">
        <v>45767</v>
      </c>
      <c r="C1340" t="s">
        <v>2</v>
      </c>
      <c r="D1340" t="s">
        <v>21</v>
      </c>
      <c r="E1340" t="s">
        <v>25</v>
      </c>
      <c r="F1340" t="s">
        <v>18</v>
      </c>
      <c r="G1340" t="s">
        <v>17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89</v>
      </c>
      <c r="B1341" s="1">
        <v>45726</v>
      </c>
      <c r="C1341" t="s">
        <v>2</v>
      </c>
      <c r="D1341" t="s">
        <v>19</v>
      </c>
      <c r="E1341" t="s">
        <v>15</v>
      </c>
      <c r="F1341" t="s">
        <v>23</v>
      </c>
      <c r="G1341" t="s">
        <v>17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88</v>
      </c>
      <c r="B1342" s="1">
        <v>45709</v>
      </c>
      <c r="C1342" t="s">
        <v>2</v>
      </c>
      <c r="D1342" t="s">
        <v>19</v>
      </c>
      <c r="E1342" t="s">
        <v>15</v>
      </c>
      <c r="F1342" t="s">
        <v>23</v>
      </c>
      <c r="G1342" t="s">
        <v>17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87</v>
      </c>
      <c r="B1343" s="1">
        <v>45663</v>
      </c>
      <c r="C1343" t="s">
        <v>2</v>
      </c>
      <c r="D1343" t="s">
        <v>16</v>
      </c>
      <c r="E1343" t="s">
        <v>25</v>
      </c>
      <c r="F1343" t="s">
        <v>22</v>
      </c>
      <c r="G1343" t="s">
        <v>17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86</v>
      </c>
      <c r="B1344" s="1">
        <v>45764</v>
      </c>
      <c r="C1344" t="s">
        <v>2</v>
      </c>
      <c r="D1344" t="s">
        <v>19</v>
      </c>
      <c r="E1344" t="s">
        <v>15</v>
      </c>
      <c r="F1344" t="s">
        <v>18</v>
      </c>
      <c r="G1344" t="s">
        <v>29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85</v>
      </c>
      <c r="B1345" s="1">
        <v>45800</v>
      </c>
      <c r="C1345" t="s">
        <v>2</v>
      </c>
      <c r="D1345" t="s">
        <v>19</v>
      </c>
      <c r="E1345" t="s">
        <v>15</v>
      </c>
      <c r="F1345" t="s">
        <v>23</v>
      </c>
      <c r="G1345" t="s">
        <v>13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84</v>
      </c>
      <c r="B1346" s="1">
        <v>45730</v>
      </c>
      <c r="C1346" t="s">
        <v>2</v>
      </c>
      <c r="D1346" t="s">
        <v>21</v>
      </c>
      <c r="E1346" t="s">
        <v>25</v>
      </c>
      <c r="F1346" t="s">
        <v>18</v>
      </c>
      <c r="G1346" t="s">
        <v>13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83</v>
      </c>
      <c r="B1347" s="1">
        <v>45768</v>
      </c>
      <c r="C1347" t="s">
        <v>2</v>
      </c>
      <c r="D1347" t="s">
        <v>16</v>
      </c>
      <c r="E1347" t="s">
        <v>15</v>
      </c>
      <c r="F1347" t="s">
        <v>22</v>
      </c>
      <c r="G1347" t="s">
        <v>29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82</v>
      </c>
      <c r="B1348" s="1">
        <v>45660</v>
      </c>
      <c r="C1348" t="s">
        <v>2</v>
      </c>
      <c r="D1348" t="s">
        <v>19</v>
      </c>
      <c r="E1348" t="s">
        <v>15</v>
      </c>
      <c r="F1348" t="s">
        <v>22</v>
      </c>
      <c r="G1348" t="s">
        <v>17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81</v>
      </c>
      <c r="B1349" s="1">
        <v>45786</v>
      </c>
      <c r="C1349" t="s">
        <v>2</v>
      </c>
      <c r="D1349" t="s">
        <v>16</v>
      </c>
      <c r="E1349" t="s">
        <v>25</v>
      </c>
      <c r="F1349" t="s">
        <v>18</v>
      </c>
      <c r="G1349" t="s">
        <v>13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80</v>
      </c>
      <c r="B1350" s="1">
        <v>45799</v>
      </c>
      <c r="C1350" t="s">
        <v>2</v>
      </c>
      <c r="D1350" t="s">
        <v>19</v>
      </c>
      <c r="E1350" t="s">
        <v>15</v>
      </c>
      <c r="F1350" t="s">
        <v>18</v>
      </c>
      <c r="G1350" t="s">
        <v>13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79</v>
      </c>
      <c r="B1351" s="1">
        <v>45784</v>
      </c>
      <c r="C1351" t="s">
        <v>2</v>
      </c>
      <c r="D1351" t="s">
        <v>19</v>
      </c>
      <c r="E1351" t="s">
        <v>25</v>
      </c>
      <c r="F1351" t="s">
        <v>14</v>
      </c>
      <c r="G1351" t="s">
        <v>17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78</v>
      </c>
      <c r="B1352" s="1">
        <v>45696</v>
      </c>
      <c r="C1352" t="s">
        <v>2</v>
      </c>
      <c r="D1352" t="s">
        <v>20</v>
      </c>
      <c r="E1352" t="s">
        <v>15</v>
      </c>
      <c r="F1352" t="s">
        <v>22</v>
      </c>
      <c r="G1352" t="s">
        <v>17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77</v>
      </c>
      <c r="B1353" s="1">
        <v>45750</v>
      </c>
      <c r="C1353" t="s">
        <v>2</v>
      </c>
      <c r="D1353" t="s">
        <v>16</v>
      </c>
      <c r="E1353" t="s">
        <v>24</v>
      </c>
      <c r="F1353" t="s">
        <v>22</v>
      </c>
      <c r="G1353" t="s">
        <v>13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76</v>
      </c>
      <c r="B1354" s="1">
        <v>45764</v>
      </c>
      <c r="C1354" t="s">
        <v>2</v>
      </c>
      <c r="D1354" t="s">
        <v>20</v>
      </c>
      <c r="E1354" t="s">
        <v>25</v>
      </c>
      <c r="F1354" t="s">
        <v>14</v>
      </c>
      <c r="G1354" t="s">
        <v>17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75</v>
      </c>
      <c r="B1355" s="1">
        <v>45781</v>
      </c>
      <c r="C1355" t="s">
        <v>2</v>
      </c>
      <c r="D1355" t="s">
        <v>20</v>
      </c>
      <c r="E1355" t="s">
        <v>15</v>
      </c>
      <c r="F1355" t="s">
        <v>18</v>
      </c>
      <c r="G1355" t="s">
        <v>17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74</v>
      </c>
      <c r="B1356" s="1">
        <v>45788</v>
      </c>
      <c r="C1356" t="s">
        <v>2</v>
      </c>
      <c r="D1356" t="s">
        <v>21</v>
      </c>
      <c r="E1356" t="s">
        <v>25</v>
      </c>
      <c r="F1356" t="s">
        <v>18</v>
      </c>
      <c r="G1356" t="s">
        <v>17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73</v>
      </c>
      <c r="B1357" s="1">
        <v>45717</v>
      </c>
      <c r="C1357" t="s">
        <v>2</v>
      </c>
      <c r="D1357" t="s">
        <v>16</v>
      </c>
      <c r="E1357" t="s">
        <v>25</v>
      </c>
      <c r="F1357" t="s">
        <v>32</v>
      </c>
      <c r="G1357" t="s">
        <v>17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72</v>
      </c>
      <c r="B1358" s="1">
        <v>45708</v>
      </c>
      <c r="C1358" t="s">
        <v>2</v>
      </c>
      <c r="D1358" t="s">
        <v>21</v>
      </c>
      <c r="E1358" t="s">
        <v>25</v>
      </c>
      <c r="F1358" t="s">
        <v>18</v>
      </c>
      <c r="G1358" t="s">
        <v>17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71</v>
      </c>
      <c r="B1359" s="1">
        <v>45786</v>
      </c>
      <c r="C1359" t="s">
        <v>2</v>
      </c>
      <c r="D1359" t="s">
        <v>21</v>
      </c>
      <c r="E1359" t="s">
        <v>15</v>
      </c>
      <c r="F1359" t="s">
        <v>22</v>
      </c>
      <c r="G1359" t="s">
        <v>17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70</v>
      </c>
      <c r="B1360" s="1">
        <v>45777</v>
      </c>
      <c r="C1360" t="s">
        <v>2</v>
      </c>
      <c r="D1360" t="s">
        <v>21</v>
      </c>
      <c r="E1360" t="s">
        <v>15</v>
      </c>
      <c r="F1360" t="s">
        <v>18</v>
      </c>
      <c r="G1360" t="s">
        <v>17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69</v>
      </c>
      <c r="B1361" s="1">
        <v>45664</v>
      </c>
      <c r="C1361" t="s">
        <v>2</v>
      </c>
      <c r="D1361" t="s">
        <v>19</v>
      </c>
      <c r="E1361" t="s">
        <v>15</v>
      </c>
      <c r="F1361" t="s">
        <v>22</v>
      </c>
      <c r="G1361" t="s">
        <v>13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68</v>
      </c>
      <c r="B1362" s="1">
        <v>45777</v>
      </c>
      <c r="C1362" t="s">
        <v>2</v>
      </c>
      <c r="D1362" t="s">
        <v>16</v>
      </c>
      <c r="E1362" t="s">
        <v>15</v>
      </c>
      <c r="F1362" t="s">
        <v>22</v>
      </c>
      <c r="G1362" t="s">
        <v>13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67</v>
      </c>
      <c r="B1363" s="1">
        <v>45800</v>
      </c>
      <c r="C1363" t="s">
        <v>2</v>
      </c>
      <c r="D1363" t="s">
        <v>20</v>
      </c>
      <c r="E1363" t="s">
        <v>15</v>
      </c>
      <c r="F1363" t="s">
        <v>18</v>
      </c>
      <c r="G1363" t="s">
        <v>13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66</v>
      </c>
      <c r="B1364" s="1">
        <v>45728</v>
      </c>
      <c r="C1364" t="s">
        <v>2</v>
      </c>
      <c r="D1364" t="s">
        <v>19</v>
      </c>
      <c r="E1364" t="s">
        <v>15</v>
      </c>
      <c r="F1364" t="s">
        <v>14</v>
      </c>
      <c r="G1364" t="s">
        <v>29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65</v>
      </c>
      <c r="B1365" s="1">
        <v>45705</v>
      </c>
      <c r="C1365" t="s">
        <v>2</v>
      </c>
      <c r="D1365" t="s">
        <v>16</v>
      </c>
      <c r="E1365" t="s">
        <v>15</v>
      </c>
      <c r="F1365" t="s">
        <v>18</v>
      </c>
      <c r="G1365" t="s">
        <v>29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64</v>
      </c>
      <c r="B1366" s="1">
        <v>45804</v>
      </c>
      <c r="C1366" t="s">
        <v>2</v>
      </c>
      <c r="D1366" t="s">
        <v>16</v>
      </c>
      <c r="E1366" t="s">
        <v>25</v>
      </c>
      <c r="F1366" t="s">
        <v>18</v>
      </c>
      <c r="G1366" t="s">
        <v>13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63</v>
      </c>
      <c r="B1367" s="1">
        <v>45787</v>
      </c>
      <c r="C1367" t="s">
        <v>2</v>
      </c>
      <c r="D1367" t="s">
        <v>19</v>
      </c>
      <c r="E1367" t="s">
        <v>15</v>
      </c>
      <c r="F1367" t="s">
        <v>22</v>
      </c>
      <c r="G1367" t="s">
        <v>29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62</v>
      </c>
      <c r="B1368" s="1">
        <v>45677</v>
      </c>
      <c r="C1368" t="s">
        <v>2</v>
      </c>
      <c r="D1368" t="s">
        <v>16</v>
      </c>
      <c r="E1368" t="s">
        <v>15</v>
      </c>
      <c r="F1368" t="s">
        <v>18</v>
      </c>
      <c r="G1368" t="s">
        <v>13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61</v>
      </c>
      <c r="B1369" s="1">
        <v>45676</v>
      </c>
      <c r="C1369" t="s">
        <v>2</v>
      </c>
      <c r="D1369" t="s">
        <v>20</v>
      </c>
      <c r="E1369" t="s">
        <v>15</v>
      </c>
      <c r="F1369" t="s">
        <v>27</v>
      </c>
      <c r="G1369" t="s">
        <v>17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60</v>
      </c>
      <c r="B1370" s="1">
        <v>45723</v>
      </c>
      <c r="C1370" t="s">
        <v>2</v>
      </c>
      <c r="D1370" t="s">
        <v>21</v>
      </c>
      <c r="E1370" t="s">
        <v>25</v>
      </c>
      <c r="F1370" t="s">
        <v>14</v>
      </c>
      <c r="G1370" t="s">
        <v>13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59</v>
      </c>
      <c r="B1371" s="1">
        <v>45690</v>
      </c>
      <c r="C1371" t="s">
        <v>2</v>
      </c>
      <c r="D1371" t="s">
        <v>20</v>
      </c>
      <c r="E1371" t="s">
        <v>15</v>
      </c>
      <c r="F1371" t="s">
        <v>18</v>
      </c>
      <c r="G1371" t="s">
        <v>17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58</v>
      </c>
      <c r="B1372" s="1">
        <v>45723</v>
      </c>
      <c r="C1372" t="s">
        <v>2</v>
      </c>
      <c r="D1372" t="s">
        <v>16</v>
      </c>
      <c r="E1372" t="s">
        <v>15</v>
      </c>
      <c r="F1372" t="s">
        <v>18</v>
      </c>
      <c r="G1372" t="s">
        <v>17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57</v>
      </c>
      <c r="B1373" s="1">
        <v>45746</v>
      </c>
      <c r="C1373" t="s">
        <v>2</v>
      </c>
      <c r="D1373" t="s">
        <v>20</v>
      </c>
      <c r="E1373" t="s">
        <v>25</v>
      </c>
      <c r="F1373" t="s">
        <v>18</v>
      </c>
      <c r="G1373" t="s">
        <v>17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56</v>
      </c>
      <c r="B1374" s="1">
        <v>45782</v>
      </c>
      <c r="C1374" t="s">
        <v>2</v>
      </c>
      <c r="D1374" t="s">
        <v>20</v>
      </c>
      <c r="E1374" t="s">
        <v>25</v>
      </c>
      <c r="F1374" t="s">
        <v>14</v>
      </c>
      <c r="G1374" t="s">
        <v>17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55</v>
      </c>
      <c r="B1375" s="1">
        <v>45758</v>
      </c>
      <c r="C1375" t="s">
        <v>2</v>
      </c>
      <c r="D1375" t="s">
        <v>19</v>
      </c>
      <c r="E1375" t="s">
        <v>15</v>
      </c>
      <c r="F1375" t="s">
        <v>22</v>
      </c>
      <c r="G1375" t="s">
        <v>17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54</v>
      </c>
      <c r="B1376" s="1">
        <v>45741</v>
      </c>
      <c r="C1376" t="s">
        <v>2</v>
      </c>
      <c r="D1376" t="s">
        <v>21</v>
      </c>
      <c r="E1376" t="s">
        <v>25</v>
      </c>
      <c r="F1376" t="s">
        <v>23</v>
      </c>
      <c r="G1376" t="s">
        <v>29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53</v>
      </c>
      <c r="B1377" s="1">
        <v>45740</v>
      </c>
      <c r="C1377" t="s">
        <v>2</v>
      </c>
      <c r="D1377" t="s">
        <v>16</v>
      </c>
      <c r="E1377" t="s">
        <v>15</v>
      </c>
      <c r="F1377" t="s">
        <v>18</v>
      </c>
      <c r="G1377" t="s">
        <v>29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52</v>
      </c>
      <c r="B1378" s="1">
        <v>45774</v>
      </c>
      <c r="C1378" t="s">
        <v>2</v>
      </c>
      <c r="D1378" t="s">
        <v>20</v>
      </c>
      <c r="E1378" t="s">
        <v>15</v>
      </c>
      <c r="F1378" t="s">
        <v>18</v>
      </c>
      <c r="G1378" t="s">
        <v>13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51</v>
      </c>
      <c r="B1379" s="1">
        <v>45682</v>
      </c>
      <c r="C1379" t="s">
        <v>2</v>
      </c>
      <c r="D1379" t="s">
        <v>16</v>
      </c>
      <c r="E1379" t="s">
        <v>25</v>
      </c>
      <c r="F1379" t="s">
        <v>14</v>
      </c>
      <c r="G1379" t="s">
        <v>17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50</v>
      </c>
      <c r="B1380" s="1">
        <v>45705</v>
      </c>
      <c r="C1380" t="s">
        <v>2</v>
      </c>
      <c r="D1380" t="s">
        <v>16</v>
      </c>
      <c r="E1380" t="s">
        <v>24</v>
      </c>
      <c r="F1380" t="s">
        <v>22</v>
      </c>
      <c r="G1380" t="s">
        <v>13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49</v>
      </c>
      <c r="B1381" s="1">
        <v>45760</v>
      </c>
      <c r="C1381" t="s">
        <v>2</v>
      </c>
      <c r="D1381" t="s">
        <v>19</v>
      </c>
      <c r="E1381" t="s">
        <v>25</v>
      </c>
      <c r="F1381" t="s">
        <v>18</v>
      </c>
      <c r="G1381" t="s">
        <v>17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48</v>
      </c>
      <c r="B1382" s="1">
        <v>45780</v>
      </c>
      <c r="C1382" t="s">
        <v>2</v>
      </c>
      <c r="D1382" t="s">
        <v>21</v>
      </c>
      <c r="E1382" t="s">
        <v>25</v>
      </c>
      <c r="F1382" t="s">
        <v>14</v>
      </c>
      <c r="G1382" t="s">
        <v>29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47</v>
      </c>
      <c r="B1383" s="1">
        <v>45776</v>
      </c>
      <c r="C1383" t="s">
        <v>2</v>
      </c>
      <c r="D1383" t="s">
        <v>21</v>
      </c>
      <c r="E1383" t="s">
        <v>15</v>
      </c>
      <c r="F1383" t="s">
        <v>23</v>
      </c>
      <c r="G1383" t="s">
        <v>17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46</v>
      </c>
      <c r="B1384" s="1">
        <v>45780</v>
      </c>
      <c r="C1384" t="s">
        <v>2</v>
      </c>
      <c r="D1384" t="s">
        <v>20</v>
      </c>
      <c r="E1384" t="s">
        <v>25</v>
      </c>
      <c r="F1384" t="s">
        <v>14</v>
      </c>
      <c r="G1384" t="s">
        <v>17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45</v>
      </c>
      <c r="B1385" s="1">
        <v>45775</v>
      </c>
      <c r="C1385" t="s">
        <v>2</v>
      </c>
      <c r="D1385" t="s">
        <v>21</v>
      </c>
      <c r="E1385" t="s">
        <v>15</v>
      </c>
      <c r="F1385" t="s">
        <v>14</v>
      </c>
      <c r="G1385" t="s">
        <v>17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44</v>
      </c>
      <c r="B1386" s="1">
        <v>45678</v>
      </c>
      <c r="C1386" t="s">
        <v>2</v>
      </c>
      <c r="D1386" t="s">
        <v>21</v>
      </c>
      <c r="E1386" t="s">
        <v>15</v>
      </c>
      <c r="F1386" t="s">
        <v>18</v>
      </c>
      <c r="G1386" t="s">
        <v>17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43</v>
      </c>
      <c r="B1387" s="1">
        <v>45678</v>
      </c>
      <c r="C1387" t="s">
        <v>2</v>
      </c>
      <c r="D1387" t="s">
        <v>16</v>
      </c>
      <c r="E1387" t="s">
        <v>24</v>
      </c>
      <c r="F1387" t="s">
        <v>14</v>
      </c>
      <c r="G1387" t="s">
        <v>13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42</v>
      </c>
      <c r="B1388" s="1">
        <v>45798</v>
      </c>
      <c r="C1388" t="s">
        <v>2</v>
      </c>
      <c r="D1388" t="s">
        <v>21</v>
      </c>
      <c r="E1388" t="s">
        <v>25</v>
      </c>
      <c r="F1388" t="s">
        <v>14</v>
      </c>
      <c r="G1388" t="s">
        <v>17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41</v>
      </c>
      <c r="B1389" s="1">
        <v>45662</v>
      </c>
      <c r="C1389" t="s">
        <v>2</v>
      </c>
      <c r="D1389" t="s">
        <v>16</v>
      </c>
      <c r="E1389" t="s">
        <v>15</v>
      </c>
      <c r="F1389" t="s">
        <v>27</v>
      </c>
      <c r="G1389" t="s">
        <v>17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40</v>
      </c>
      <c r="B1390" s="1">
        <v>45722</v>
      </c>
      <c r="C1390" t="s">
        <v>2</v>
      </c>
      <c r="D1390" t="s">
        <v>19</v>
      </c>
      <c r="E1390" t="s">
        <v>25</v>
      </c>
      <c r="F1390" t="s">
        <v>18</v>
      </c>
      <c r="G1390" t="s">
        <v>17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39</v>
      </c>
      <c r="B1391" s="1">
        <v>45765</v>
      </c>
      <c r="C1391" t="s">
        <v>2</v>
      </c>
      <c r="D1391" t="s">
        <v>16</v>
      </c>
      <c r="E1391" t="s">
        <v>15</v>
      </c>
      <c r="F1391" t="s">
        <v>14</v>
      </c>
      <c r="G1391" t="s">
        <v>17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38</v>
      </c>
      <c r="B1392" s="1">
        <v>45762</v>
      </c>
      <c r="C1392" t="s">
        <v>2</v>
      </c>
      <c r="D1392" t="s">
        <v>21</v>
      </c>
      <c r="E1392" t="s">
        <v>15</v>
      </c>
      <c r="F1392" t="s">
        <v>18</v>
      </c>
      <c r="G1392" t="s">
        <v>13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37</v>
      </c>
      <c r="B1393" s="1">
        <v>45698</v>
      </c>
      <c r="C1393" t="s">
        <v>2</v>
      </c>
      <c r="D1393" t="s">
        <v>20</v>
      </c>
      <c r="E1393" t="s">
        <v>15</v>
      </c>
      <c r="F1393" t="s">
        <v>14</v>
      </c>
      <c r="G1393" t="s">
        <v>17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36</v>
      </c>
      <c r="B1394" s="1">
        <v>45785</v>
      </c>
      <c r="C1394" t="s">
        <v>2</v>
      </c>
      <c r="D1394" t="s">
        <v>20</v>
      </c>
      <c r="E1394" t="s">
        <v>15</v>
      </c>
      <c r="F1394" t="s">
        <v>18</v>
      </c>
      <c r="G1394" t="s">
        <v>17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35</v>
      </c>
      <c r="B1395" s="1">
        <v>45805</v>
      </c>
      <c r="C1395" t="s">
        <v>2</v>
      </c>
      <c r="D1395" t="s">
        <v>20</v>
      </c>
      <c r="E1395" t="s">
        <v>24</v>
      </c>
      <c r="F1395" t="s">
        <v>18</v>
      </c>
      <c r="G1395" t="s">
        <v>17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34</v>
      </c>
      <c r="B1396" s="1">
        <v>45772</v>
      </c>
      <c r="C1396" t="s">
        <v>2</v>
      </c>
      <c r="D1396" t="s">
        <v>16</v>
      </c>
      <c r="E1396" t="s">
        <v>24</v>
      </c>
      <c r="F1396" t="s">
        <v>27</v>
      </c>
      <c r="G1396" t="s">
        <v>29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33</v>
      </c>
      <c r="B1397" s="1">
        <v>45699</v>
      </c>
      <c r="C1397" t="s">
        <v>2</v>
      </c>
      <c r="D1397" t="s">
        <v>19</v>
      </c>
      <c r="E1397" t="s">
        <v>15</v>
      </c>
      <c r="F1397" t="s">
        <v>32</v>
      </c>
      <c r="G1397" t="s">
        <v>29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31</v>
      </c>
      <c r="B1398" s="1">
        <v>45761</v>
      </c>
      <c r="C1398" t="s">
        <v>2</v>
      </c>
      <c r="D1398" t="s">
        <v>21</v>
      </c>
      <c r="E1398" t="s">
        <v>15</v>
      </c>
      <c r="F1398" t="s">
        <v>18</v>
      </c>
      <c r="G1398" t="s">
        <v>17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30</v>
      </c>
      <c r="B1399" s="1">
        <v>45692</v>
      </c>
      <c r="C1399" t="s">
        <v>2</v>
      </c>
      <c r="D1399" t="s">
        <v>21</v>
      </c>
      <c r="E1399" t="s">
        <v>24</v>
      </c>
      <c r="F1399" t="s">
        <v>18</v>
      </c>
      <c r="G1399" t="s">
        <v>29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28</v>
      </c>
      <c r="B1400" s="1">
        <v>45738</v>
      </c>
      <c r="C1400" t="s">
        <v>2</v>
      </c>
      <c r="D1400" t="s">
        <v>20</v>
      </c>
      <c r="E1400" t="s">
        <v>15</v>
      </c>
      <c r="F1400" t="s">
        <v>27</v>
      </c>
      <c r="G1400" t="s">
        <v>17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26</v>
      </c>
      <c r="B1401" s="1">
        <v>45765</v>
      </c>
      <c r="C1401" t="s">
        <v>2</v>
      </c>
      <c r="D1401" t="s">
        <v>20</v>
      </c>
      <c r="E1401" t="s">
        <v>25</v>
      </c>
      <c r="F1401" t="s">
        <v>22</v>
      </c>
      <c r="G1401" t="s">
        <v>17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B1402" s="1">
        <v>45711</v>
      </c>
      <c r="C1402" t="s">
        <v>2</v>
      </c>
      <c r="D1402" t="s">
        <v>21</v>
      </c>
      <c r="E1402" t="s">
        <v>25</v>
      </c>
      <c r="F1402" t="s">
        <v>22</v>
      </c>
      <c r="G1402" t="s">
        <v>13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B1403" s="1">
        <v>45691</v>
      </c>
      <c r="C1403" t="s">
        <v>1</v>
      </c>
      <c r="D1403" t="s">
        <v>16</v>
      </c>
      <c r="E1403" t="s">
        <v>24</v>
      </c>
      <c r="F1403" t="s">
        <v>23</v>
      </c>
      <c r="G1403" t="s">
        <v>13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B1404" s="1">
        <v>45800</v>
      </c>
      <c r="C1404" t="s">
        <v>2</v>
      </c>
      <c r="D1404" t="s">
        <v>20</v>
      </c>
      <c r="E1404" t="s">
        <v>15</v>
      </c>
      <c r="F1404" t="s">
        <v>18</v>
      </c>
      <c r="G1404" t="s">
        <v>13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B1405" s="1">
        <v>45693</v>
      </c>
      <c r="C1405" t="s">
        <v>1</v>
      </c>
      <c r="D1405" t="s">
        <v>20</v>
      </c>
      <c r="E1405" t="s">
        <v>15</v>
      </c>
      <c r="F1405" t="s">
        <v>22</v>
      </c>
      <c r="G1405" t="s">
        <v>17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B1406" s="1">
        <v>45712</v>
      </c>
      <c r="C1406" t="s">
        <v>2</v>
      </c>
      <c r="D1406" t="s">
        <v>21</v>
      </c>
      <c r="E1406" t="s">
        <v>15</v>
      </c>
      <c r="F1406" t="s">
        <v>18</v>
      </c>
      <c r="G1406" t="s">
        <v>13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B1407" s="1">
        <v>45746</v>
      </c>
      <c r="C1407" t="s">
        <v>2</v>
      </c>
      <c r="D1407" t="s">
        <v>20</v>
      </c>
      <c r="E1407" t="s">
        <v>15</v>
      </c>
      <c r="F1407" t="s">
        <v>18</v>
      </c>
      <c r="G1407" t="s">
        <v>17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B1408" s="1">
        <v>45793</v>
      </c>
      <c r="C1408" t="s">
        <v>2</v>
      </c>
      <c r="D1408" t="s">
        <v>19</v>
      </c>
      <c r="E1408" t="s">
        <v>15</v>
      </c>
      <c r="F1408" t="s">
        <v>18</v>
      </c>
      <c r="G1408" t="s">
        <v>17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2:16">
      <c r="B1409" s="1">
        <v>45799</v>
      </c>
      <c r="C1409" t="s">
        <v>1</v>
      </c>
      <c r="D1409" t="s">
        <v>16</v>
      </c>
      <c r="E1409" t="s">
        <v>15</v>
      </c>
      <c r="F1409" t="s">
        <v>14</v>
      </c>
      <c r="G1409" t="s">
        <v>13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conditionalFormatting sqref="A1:A14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202E-285E-4BCD-941D-C709D3F2FAE4}">
  <dimension ref="A1:C12"/>
  <sheetViews>
    <sheetView showGridLines="0" tabSelected="1" zoomScale="136" workbookViewId="0">
      <selection activeCell="J9" sqref="J9"/>
    </sheetView>
  </sheetViews>
  <sheetFormatPr defaultRowHeight="14.5"/>
  <cols>
    <col min="2" max="2" width="11.81640625" bestFit="1" customWidth="1"/>
    <col min="3" max="3" width="12.90625" customWidth="1"/>
  </cols>
  <sheetData>
    <row r="1" spans="1:3" ht="21">
      <c r="A1" s="5" t="s">
        <v>0</v>
      </c>
      <c r="B1" s="5" t="s">
        <v>1</v>
      </c>
      <c r="C1" s="5" t="s">
        <v>2</v>
      </c>
    </row>
    <row r="2" spans="1:3">
      <c r="A2" s="3" t="s">
        <v>3</v>
      </c>
      <c r="B2" s="3">
        <f>COUNTIF(Data_Cleaning!$C:$C,"Control")</f>
        <v>693</v>
      </c>
      <c r="C2" s="3">
        <f>COUNTIF(Data_Cleaning!$C:$C,"Treatment")</f>
        <v>715</v>
      </c>
    </row>
    <row r="3" spans="1:3">
      <c r="A3" s="3" t="s">
        <v>1445</v>
      </c>
      <c r="B3" s="4">
        <f>COUNTIFS(Data_Cleaning!$C:$C,"Control",Data_Cleaning!$H:$H,1)/COUNTIF(Data_Cleaning!$C:$C,"Control")</f>
        <v>0.63636363636363635</v>
      </c>
      <c r="C3" s="4">
        <f>COUNTIFS(Data_Cleaning!$C:$C,"Treatment",Data_Cleaning!$H:$H,1)/COUNTIF(Data_Cleaning!$C:$C,"Treatment")</f>
        <v>0.72587412587412592</v>
      </c>
    </row>
    <row r="4" spans="1:3">
      <c r="A4" s="3" t="s">
        <v>4</v>
      </c>
      <c r="B4" s="4">
        <f>COUNTIFS(Data_Cleaning!$C:$C,"Control",Data_Cleaning!$I:$I,1)/COUNTIF(Data_Cleaning!$C:$C,"Control")</f>
        <v>0.25108225108225107</v>
      </c>
      <c r="C4" s="4">
        <f>COUNTIFS(Data_Cleaning!$C:$C,"Treatment",Data_Cleaning!$I:$I,1)/COUNTIF(Data_Cleaning!$C:$C,"Treatment")</f>
        <v>0.29090909090909089</v>
      </c>
    </row>
    <row r="5" spans="1:3">
      <c r="A5" s="3" t="s">
        <v>5</v>
      </c>
      <c r="B5" s="4">
        <f>COUNTIFS(Data_Cleaning!$C:$C,"Control",Data_Cleaning!$J:$J,1)/COUNTIF(Data_Cleaning!$C:$C,"Control")</f>
        <v>0.15584415584415584</v>
      </c>
      <c r="C5" s="4">
        <f>COUNTIFS(Data_Cleaning!$C:$C,"Treatment",Data_Cleaning!$J:$J,1)/COUNTIF(Data_Cleaning!$C:$C,"Treatment")</f>
        <v>0.21258741258741259</v>
      </c>
    </row>
    <row r="6" spans="1:3">
      <c r="A6" s="3" t="s">
        <v>6</v>
      </c>
      <c r="B6" s="4">
        <v>3.1746031746031744E-2</v>
      </c>
      <c r="C6" s="4">
        <f>COUNTIFS(Data_Cleaning!$C:$C,"Treatment",Data_Cleaning!$K:$K,1)/COUNTIF(Data_Cleaning!$C:$C,"Treatment")</f>
        <v>6.9930069930069935E-2</v>
      </c>
    </row>
    <row r="7" spans="1:3">
      <c r="A7" s="3" t="s">
        <v>7</v>
      </c>
      <c r="B7" s="3">
        <f>SUMIFS(Data_Cleaning!$L:$L,Data_Cleaning!$C:$C,"Control")/COUNTIF(Data_Cleaning!$C:$C,"Control")</f>
        <v>51.74932178932179</v>
      </c>
      <c r="C7" s="3">
        <f>SUMIFS(Data_Cleaning!$L:$L,Data_Cleaning!$C:$C,"Treatment")/COUNTIF(Data_Cleaning!$C:$C,"Treatment")</f>
        <v>53.875118881118873</v>
      </c>
    </row>
    <row r="8" spans="1:3">
      <c r="A8" s="3" t="s">
        <v>8</v>
      </c>
      <c r="B8" s="3">
        <f>SUMIFS(Data_Cleaning!$L:$L,Data_Cleaning!$C:$C,"Control")/COUNTIFS(Data_Cleaning!$C:$C,"Control",Data_Cleaning!$K:$K,1)</f>
        <v>1630.1036363636363</v>
      </c>
      <c r="C8" s="3">
        <f>SUMIFS(Data_Cleaning!$L:$L,Data_Cleaning!$C:$C,"Treatment")/COUNTIFS(Data_Cleaning!$C:$C,"Treatment",Data_Cleaning!$K:$K,1)</f>
        <v>770.41419999999982</v>
      </c>
    </row>
    <row r="9" spans="1:3">
      <c r="A9" s="3" t="s">
        <v>9</v>
      </c>
      <c r="B9" s="4">
        <f>COUNTIFS(Data_Cleaning!$C:$C,"Control",Data_Cleaning!$N:$N,1)/COUNTIF(Data_Cleaning!$C:$C,"Control")</f>
        <v>0</v>
      </c>
      <c r="C9" s="4">
        <f>COUNTIFS(Data_Cleaning!$C:$C,"Treatment",Data_Cleaning!$N:$N,1)/COUNTIF(Data_Cleaning!$C:$C,"Treatment")</f>
        <v>4.1958041958041958E-3</v>
      </c>
    </row>
    <row r="10" spans="1:3">
      <c r="A10" s="3" t="s">
        <v>10</v>
      </c>
      <c r="B10" s="4">
        <f>COUNTIFS(Data_Cleaning!$C:$C,"Control",Data_Cleaning!$M:$M,"&gt;0")/COUNTIF(Data_Cleaning!$C:$C,"Control")</f>
        <v>0.1471861471861472</v>
      </c>
      <c r="C10" s="4">
        <f>COUNTIFS(Data_Cleaning!$C:$C,"Treatment",Data_Cleaning!$M:$M,"&gt;0")/COUNTIFS(Data_Cleaning!$C:$C,"Treatment")</f>
        <v>0.24755244755244754</v>
      </c>
    </row>
    <row r="11" spans="1:3">
      <c r="A11" s="3" t="s">
        <v>11</v>
      </c>
      <c r="B11" s="3">
        <f>AVERAGEIFS(Data_Cleaning!$P:$P,Data_Cleaning!$C:$C,"Control")</f>
        <v>57.036669213139852</v>
      </c>
      <c r="C11" s="3">
        <f>AVERAGEIFS(Data_Cleaning!$P:$P,Data_Cleaning!$C:$C,"Treatment")</f>
        <v>62.879415878239421</v>
      </c>
    </row>
    <row r="12" spans="1:3">
      <c r="A12" s="3" t="s">
        <v>12</v>
      </c>
      <c r="B12" s="3">
        <f>AVERAGEIFS(Data_Cleaning!$O:$O,Data_Cleaning!$C:$C,"Control",Data_Cleaning!$K:$K,1)</f>
        <v>9</v>
      </c>
      <c r="C12" s="3">
        <f>AVERAGEIFS(Data_Cleaning!$O:$O,Data_Cleaning!$C:$C,"Treatment",Data_Cleaning!$K:$K,1)</f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9CB0-139D-41A8-BF80-E521F9CFA657}">
  <dimension ref="A2:K21"/>
  <sheetViews>
    <sheetView workbookViewId="0">
      <selection activeCell="F8" sqref="F8"/>
    </sheetView>
  </sheetViews>
  <sheetFormatPr defaultRowHeight="14.5"/>
  <cols>
    <col min="1" max="1" width="14.453125" bestFit="1" customWidth="1"/>
    <col min="2" max="2" width="15.6328125" bestFit="1" customWidth="1"/>
    <col min="3" max="3" width="9.36328125" bestFit="1" customWidth="1"/>
    <col min="4" max="4" width="20.54296875" bestFit="1" customWidth="1"/>
    <col min="5" max="5" width="15.6328125" bestFit="1" customWidth="1"/>
    <col min="6" max="7" width="11.81640625" bestFit="1" customWidth="1"/>
    <col min="8" max="8" width="25.7265625" bestFit="1" customWidth="1"/>
    <col min="9" max="9" width="15.6328125" bestFit="1" customWidth="1"/>
    <col min="10" max="11" width="11.81640625" bestFit="1" customWidth="1"/>
    <col min="12" max="13" width="10.36328125" bestFit="1" customWidth="1"/>
  </cols>
  <sheetData>
    <row r="2" spans="1:11">
      <c r="A2" s="7" t="s">
        <v>1446</v>
      </c>
      <c r="B2" s="7" t="s">
        <v>1447</v>
      </c>
      <c r="H2" s="7" t="s">
        <v>1448</v>
      </c>
      <c r="I2" s="7" t="s">
        <v>1447</v>
      </c>
    </row>
    <row r="3" spans="1:11">
      <c r="A3" s="7" t="s">
        <v>1449</v>
      </c>
      <c r="B3" t="s">
        <v>1</v>
      </c>
      <c r="C3" t="s">
        <v>2</v>
      </c>
      <c r="D3" t="s">
        <v>1450</v>
      </c>
      <c r="H3" s="7" t="s">
        <v>1449</v>
      </c>
      <c r="I3" t="s">
        <v>1</v>
      </c>
      <c r="J3" t="s">
        <v>2</v>
      </c>
      <c r="K3" t="s">
        <v>1450</v>
      </c>
    </row>
    <row r="4" spans="1:11">
      <c r="A4" s="6" t="s">
        <v>20</v>
      </c>
      <c r="B4">
        <v>157</v>
      </c>
      <c r="C4">
        <v>170</v>
      </c>
      <c r="D4">
        <v>327</v>
      </c>
      <c r="H4" s="6" t="s">
        <v>25</v>
      </c>
      <c r="I4">
        <v>57.217676470588238</v>
      </c>
      <c r="J4">
        <v>63.198460692688307</v>
      </c>
      <c r="K4">
        <v>60.309192952543334</v>
      </c>
    </row>
    <row r="5" spans="1:11">
      <c r="A5" s="6" t="s">
        <v>16</v>
      </c>
      <c r="B5">
        <v>201</v>
      </c>
      <c r="C5">
        <v>180</v>
      </c>
      <c r="D5">
        <v>381</v>
      </c>
      <c r="H5" s="6" t="s">
        <v>15</v>
      </c>
      <c r="I5">
        <v>57.356170973062085</v>
      </c>
      <c r="J5">
        <v>62.721127900701603</v>
      </c>
      <c r="K5">
        <v>60.063487200435716</v>
      </c>
    </row>
    <row r="6" spans="1:11">
      <c r="A6" s="6" t="s">
        <v>19</v>
      </c>
      <c r="B6">
        <v>184</v>
      </c>
      <c r="C6">
        <v>183</v>
      </c>
      <c r="D6">
        <v>367</v>
      </c>
      <c r="H6" s="6" t="s">
        <v>24</v>
      </c>
      <c r="I6">
        <v>55.802415966386562</v>
      </c>
      <c r="J6">
        <v>63.007142857142846</v>
      </c>
      <c r="K6">
        <v>59.404779411764714</v>
      </c>
    </row>
    <row r="7" spans="1:11">
      <c r="A7" s="6" t="s">
        <v>21</v>
      </c>
      <c r="B7">
        <v>148</v>
      </c>
      <c r="C7">
        <v>177</v>
      </c>
      <c r="D7">
        <v>325</v>
      </c>
      <c r="H7" s="6" t="s">
        <v>32</v>
      </c>
      <c r="I7">
        <v>45.500000000000007</v>
      </c>
      <c r="J7">
        <v>62.166666666666664</v>
      </c>
      <c r="K7">
        <v>53.833333333333343</v>
      </c>
    </row>
    <row r="8" spans="1:11">
      <c r="A8" s="6" t="s">
        <v>1450</v>
      </c>
      <c r="B8">
        <v>690</v>
      </c>
      <c r="C8">
        <v>710</v>
      </c>
      <c r="D8">
        <v>1400</v>
      </c>
      <c r="H8" s="6" t="s">
        <v>1450</v>
      </c>
      <c r="I8">
        <v>57.036669213139852</v>
      </c>
      <c r="J8">
        <v>62.879415878239421</v>
      </c>
      <c r="K8">
        <v>60.003689004010717</v>
      </c>
    </row>
    <row r="13" spans="1:11">
      <c r="D13" s="7" t="s">
        <v>1451</v>
      </c>
      <c r="E13" s="7" t="s">
        <v>1447</v>
      </c>
    </row>
    <row r="14" spans="1:11">
      <c r="D14" s="7" t="s">
        <v>1449</v>
      </c>
      <c r="E14" t="s">
        <v>1</v>
      </c>
      <c r="F14" t="s">
        <v>2</v>
      </c>
      <c r="G14" t="s">
        <v>1450</v>
      </c>
    </row>
    <row r="15" spans="1:11">
      <c r="D15" s="6" t="s">
        <v>23</v>
      </c>
      <c r="E15">
        <v>28.720675675675675</v>
      </c>
      <c r="F15">
        <v>44.980892857142855</v>
      </c>
      <c r="G15">
        <v>35.725076923076927</v>
      </c>
    </row>
    <row r="16" spans="1:11">
      <c r="D16" s="6" t="s">
        <v>18</v>
      </c>
      <c r="E16">
        <v>42.512601626016256</v>
      </c>
      <c r="F16">
        <v>50.706390041493769</v>
      </c>
      <c r="G16">
        <v>46.56743326488705</v>
      </c>
    </row>
    <row r="17" spans="4:7">
      <c r="D17" s="6" t="s">
        <v>14</v>
      </c>
      <c r="E17">
        <v>10.837435897435897</v>
      </c>
      <c r="F17">
        <v>34.781590909090909</v>
      </c>
      <c r="G17">
        <v>23.530722891566267</v>
      </c>
    </row>
    <row r="18" spans="4:7">
      <c r="D18" s="6" t="s">
        <v>27</v>
      </c>
      <c r="E18">
        <v>33.310987654320989</v>
      </c>
      <c r="F18">
        <v>103.00417582417583</v>
      </c>
      <c r="G18">
        <v>70.18354651162791</v>
      </c>
    </row>
    <row r="19" spans="4:7">
      <c r="D19" s="6" t="s">
        <v>22</v>
      </c>
      <c r="E19">
        <v>136.08715384615383</v>
      </c>
      <c r="F19">
        <v>51.552105263157898</v>
      </c>
      <c r="G19">
        <v>93.337490494296574</v>
      </c>
    </row>
    <row r="20" spans="4:7">
      <c r="D20" s="6" t="s">
        <v>32</v>
      </c>
      <c r="E20">
        <v>199.78166666666667</v>
      </c>
      <c r="F20">
        <v>79.453888888888898</v>
      </c>
      <c r="G20">
        <v>109.53583333333334</v>
      </c>
    </row>
    <row r="21" spans="4:7">
      <c r="D21" s="6" t="s">
        <v>1450</v>
      </c>
      <c r="E21">
        <v>51.74932178932179</v>
      </c>
      <c r="F21">
        <v>53.875118881118873</v>
      </c>
      <c r="G21">
        <v>52.828828124999994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E03C-ADE0-4196-A056-67DEBB49F5CC}">
  <dimension ref="A1"/>
  <sheetViews>
    <sheetView workbookViewId="0">
      <selection activeCell="G14" sqref="G14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Data_Cleaning</vt:lpstr>
      <vt:lpstr>Summary</vt:lpstr>
      <vt:lpstr>Segment_Analysis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t28421</dc:creator>
  <cp:lastModifiedBy>Predun choudhary</cp:lastModifiedBy>
  <dcterms:created xsi:type="dcterms:W3CDTF">2026-06-28T14:17:02Z</dcterms:created>
  <dcterms:modified xsi:type="dcterms:W3CDTF">2026-07-03T09:45:13Z</dcterms:modified>
</cp:coreProperties>
</file>